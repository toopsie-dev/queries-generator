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vin.lilis\Downloads\"/>
    </mc:Choice>
  </mc:AlternateContent>
  <xr:revisionPtr revIDLastSave="0" documentId="13_ncr:1_{D4685BE1-E3E4-4B34-806D-A36D0FA0DB0D}" xr6:coauthVersionLast="47" xr6:coauthVersionMax="47" xr10:uidLastSave="{00000000-0000-0000-0000-000000000000}"/>
  <bookViews>
    <workbookView xWindow="9690" yWindow="3345" windowWidth="18150" windowHeight="12135" xr2:uid="{2BB22ADA-BF1D-4892-BCFD-099B33AA810D}"/>
  </bookViews>
  <sheets>
    <sheet name="Inquiry" sheetId="1" r:id="rId1"/>
    <sheet name="Bulk Rejection" sheetId="2" r:id="rId2"/>
    <sheet name="Manual Registration" sheetId="3" r:id="rId3"/>
    <sheet name="Reroute" sheetId="4" r:id="rId4"/>
    <sheet name="Conversion" sheetId="5" r:id="rId5"/>
    <sheet name="Transfer Histo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57" i="6" l="1"/>
  <c r="D357" i="6"/>
  <c r="A357" i="6"/>
  <c r="E356" i="6"/>
  <c r="D356" i="6"/>
  <c r="A356" i="6"/>
  <c r="E355" i="6"/>
  <c r="D355" i="6"/>
  <c r="A355" i="6"/>
  <c r="E354" i="6"/>
  <c r="D354" i="6"/>
  <c r="A354" i="6"/>
  <c r="E353" i="6"/>
  <c r="D353" i="6"/>
  <c r="A353" i="6"/>
  <c r="E352" i="6"/>
  <c r="D352" i="6"/>
  <c r="A352" i="6"/>
  <c r="E351" i="6"/>
  <c r="D351" i="6"/>
  <c r="A351" i="6"/>
  <c r="E350" i="6"/>
  <c r="D350" i="6"/>
  <c r="A350" i="6"/>
  <c r="E349" i="6"/>
  <c r="D349" i="6"/>
  <c r="A349" i="6"/>
  <c r="E348" i="6"/>
  <c r="D348" i="6"/>
  <c r="A348" i="6"/>
  <c r="E347" i="6"/>
  <c r="D347" i="6"/>
  <c r="A347" i="6"/>
  <c r="E346" i="6"/>
  <c r="D346" i="6"/>
  <c r="A346" i="6"/>
  <c r="E345" i="6"/>
  <c r="D345" i="6"/>
  <c r="A345" i="6"/>
  <c r="E344" i="6"/>
  <c r="D344" i="6"/>
  <c r="A344" i="6"/>
  <c r="E343" i="6"/>
  <c r="D343" i="6"/>
  <c r="A343" i="6"/>
  <c r="E342" i="6"/>
  <c r="D342" i="6"/>
  <c r="A342" i="6"/>
  <c r="E341" i="6"/>
  <c r="D341" i="6"/>
  <c r="A341" i="6"/>
  <c r="E340" i="6"/>
  <c r="D340" i="6"/>
  <c r="A340" i="6"/>
  <c r="E339" i="6"/>
  <c r="D339" i="6"/>
  <c r="A339" i="6"/>
  <c r="E338" i="6"/>
  <c r="D338" i="6"/>
  <c r="A338" i="6"/>
  <c r="E337" i="6"/>
  <c r="D337" i="6"/>
  <c r="A337" i="6"/>
  <c r="E336" i="6"/>
  <c r="D336" i="6"/>
  <c r="A336" i="6"/>
  <c r="E335" i="6"/>
  <c r="D335" i="6"/>
  <c r="A335" i="6"/>
  <c r="E334" i="6"/>
  <c r="D334" i="6"/>
  <c r="A334" i="6"/>
  <c r="E333" i="6"/>
  <c r="D333" i="6"/>
  <c r="A333" i="6"/>
  <c r="E332" i="6"/>
  <c r="D332" i="6"/>
  <c r="A332" i="6"/>
  <c r="E331" i="6"/>
  <c r="D331" i="6"/>
  <c r="A331" i="6"/>
  <c r="E330" i="6"/>
  <c r="D330" i="6"/>
  <c r="A330" i="6"/>
  <c r="E329" i="6"/>
  <c r="D329" i="6"/>
  <c r="A329" i="6"/>
  <c r="E328" i="6"/>
  <c r="D328" i="6"/>
  <c r="A328" i="6"/>
  <c r="E327" i="6"/>
  <c r="D327" i="6"/>
  <c r="A327" i="6"/>
  <c r="E326" i="6"/>
  <c r="D326" i="6"/>
  <c r="A326" i="6"/>
  <c r="E325" i="6"/>
  <c r="D325" i="6"/>
  <c r="A325" i="6"/>
  <c r="E324" i="6"/>
  <c r="D324" i="6"/>
  <c r="A324" i="6"/>
  <c r="E323" i="6"/>
  <c r="D323" i="6"/>
  <c r="A323" i="6"/>
  <c r="E322" i="6"/>
  <c r="D322" i="6"/>
  <c r="A322" i="6"/>
  <c r="E321" i="6"/>
  <c r="D321" i="6"/>
  <c r="A321" i="6"/>
  <c r="E320" i="6"/>
  <c r="D320" i="6"/>
  <c r="A320" i="6"/>
  <c r="E319" i="6"/>
  <c r="D319" i="6"/>
  <c r="A319" i="6"/>
  <c r="E318" i="6"/>
  <c r="D318" i="6"/>
  <c r="A318" i="6"/>
  <c r="E317" i="6"/>
  <c r="D317" i="6"/>
  <c r="A317" i="6"/>
  <c r="E316" i="6"/>
  <c r="D316" i="6"/>
  <c r="A316" i="6"/>
  <c r="E315" i="6"/>
  <c r="D315" i="6"/>
  <c r="A315" i="6"/>
  <c r="E314" i="6"/>
  <c r="D314" i="6"/>
  <c r="A314" i="6"/>
  <c r="E313" i="6"/>
  <c r="D313" i="6"/>
  <c r="A313" i="6"/>
  <c r="E312" i="6"/>
  <c r="D312" i="6"/>
  <c r="A312" i="6"/>
  <c r="E311" i="6"/>
  <c r="D311" i="6"/>
  <c r="A311" i="6"/>
  <c r="E310" i="6"/>
  <c r="D310" i="6"/>
  <c r="A310" i="6"/>
  <c r="E309" i="6"/>
  <c r="D309" i="6"/>
  <c r="A309" i="6"/>
  <c r="E308" i="6"/>
  <c r="D308" i="6"/>
  <c r="A308" i="6"/>
  <c r="E307" i="6"/>
  <c r="D307" i="6"/>
  <c r="A307" i="6"/>
  <c r="E306" i="6"/>
  <c r="D306" i="6"/>
  <c r="A306" i="6"/>
  <c r="E305" i="6"/>
  <c r="D305" i="6"/>
  <c r="A305" i="6"/>
  <c r="E304" i="6"/>
  <c r="D304" i="6"/>
  <c r="A304" i="6"/>
  <c r="E303" i="6"/>
  <c r="D303" i="6"/>
  <c r="A303" i="6"/>
  <c r="E302" i="6"/>
  <c r="D302" i="6"/>
  <c r="A302" i="6"/>
  <c r="E301" i="6"/>
  <c r="D301" i="6"/>
  <c r="A301" i="6"/>
  <c r="E300" i="6"/>
  <c r="D300" i="6"/>
  <c r="A300" i="6"/>
  <c r="E299" i="6"/>
  <c r="D299" i="6"/>
  <c r="A299" i="6"/>
  <c r="E298" i="6"/>
  <c r="D298" i="6"/>
  <c r="A298" i="6"/>
  <c r="E297" i="6"/>
  <c r="D297" i="6"/>
  <c r="A297" i="6"/>
  <c r="E296" i="6"/>
  <c r="D296" i="6"/>
  <c r="A296" i="6"/>
  <c r="E295" i="6"/>
  <c r="D295" i="6"/>
  <c r="A295" i="6"/>
  <c r="E294" i="6"/>
  <c r="D294" i="6"/>
  <c r="A294" i="6"/>
  <c r="E293" i="6"/>
  <c r="D293" i="6"/>
  <c r="A293" i="6"/>
  <c r="E292" i="6"/>
  <c r="D292" i="6"/>
  <c r="A292" i="6"/>
  <c r="E291" i="6"/>
  <c r="D291" i="6"/>
  <c r="A291" i="6"/>
  <c r="E290" i="6"/>
  <c r="D290" i="6"/>
  <c r="A290" i="6"/>
  <c r="E289" i="6"/>
  <c r="D289" i="6"/>
  <c r="A289" i="6"/>
  <c r="E288" i="6"/>
  <c r="D288" i="6"/>
  <c r="A288" i="6"/>
  <c r="E287" i="6"/>
  <c r="D287" i="6"/>
  <c r="A287" i="6"/>
  <c r="E286" i="6"/>
  <c r="D286" i="6"/>
  <c r="A286" i="6"/>
  <c r="E285" i="6"/>
  <c r="D285" i="6"/>
  <c r="A285" i="6"/>
  <c r="E284" i="6"/>
  <c r="D284" i="6"/>
  <c r="A284" i="6"/>
  <c r="E283" i="6"/>
  <c r="D283" i="6"/>
  <c r="A283" i="6"/>
  <c r="E282" i="6"/>
  <c r="D282" i="6"/>
  <c r="A282" i="6"/>
  <c r="E281" i="6"/>
  <c r="D281" i="6"/>
  <c r="A281" i="6"/>
  <c r="E280" i="6"/>
  <c r="D280" i="6"/>
  <c r="A280" i="6"/>
  <c r="E279" i="6"/>
  <c r="D279" i="6"/>
  <c r="A279" i="6"/>
  <c r="E278" i="6"/>
  <c r="D278" i="6"/>
  <c r="A278" i="6"/>
  <c r="E277" i="6"/>
  <c r="D277" i="6"/>
  <c r="A277" i="6"/>
  <c r="E276" i="6"/>
  <c r="D276" i="6"/>
  <c r="A276" i="6"/>
  <c r="E275" i="6"/>
  <c r="D275" i="6"/>
  <c r="A275" i="6"/>
  <c r="E274" i="6"/>
  <c r="D274" i="6"/>
  <c r="A274" i="6"/>
  <c r="E273" i="6"/>
  <c r="D273" i="6"/>
  <c r="A273" i="6"/>
  <c r="E272" i="6"/>
  <c r="D272" i="6"/>
  <c r="A272" i="6"/>
  <c r="E271" i="6"/>
  <c r="D271" i="6"/>
  <c r="A271" i="6"/>
  <c r="E270" i="6"/>
  <c r="D270" i="6"/>
  <c r="A270" i="6"/>
  <c r="E269" i="6"/>
  <c r="D269" i="6"/>
  <c r="A269" i="6"/>
  <c r="E268" i="6"/>
  <c r="D268" i="6"/>
  <c r="A268" i="6"/>
  <c r="E267" i="6"/>
  <c r="D267" i="6"/>
  <c r="A267" i="6"/>
  <c r="E266" i="6"/>
  <c r="D266" i="6"/>
  <c r="A266" i="6"/>
  <c r="E265" i="6"/>
  <c r="D265" i="6"/>
  <c r="A265" i="6"/>
  <c r="E264" i="6"/>
  <c r="D264" i="6"/>
  <c r="A264" i="6"/>
  <c r="E263" i="6"/>
  <c r="D263" i="6"/>
  <c r="A263" i="6"/>
  <c r="E262" i="6"/>
  <c r="D262" i="6"/>
  <c r="A262" i="6"/>
  <c r="E261" i="6"/>
  <c r="D261" i="6"/>
  <c r="A261" i="6"/>
  <c r="E260" i="6"/>
  <c r="D260" i="6"/>
  <c r="A260" i="6"/>
  <c r="E259" i="6"/>
  <c r="D259" i="6"/>
  <c r="A259" i="6"/>
  <c r="E258" i="6"/>
  <c r="D258" i="6"/>
  <c r="A258" i="6"/>
  <c r="E257" i="6"/>
  <c r="D257" i="6"/>
  <c r="A257" i="6"/>
  <c r="E256" i="6"/>
  <c r="D256" i="6"/>
  <c r="A256" i="6"/>
  <c r="E255" i="6"/>
  <c r="D255" i="6"/>
  <c r="A255" i="6"/>
  <c r="E254" i="6"/>
  <c r="D254" i="6"/>
  <c r="A254" i="6"/>
  <c r="E253" i="6"/>
  <c r="D253" i="6"/>
  <c r="A253" i="6"/>
  <c r="E252" i="6"/>
  <c r="D252" i="6"/>
  <c r="A252" i="6"/>
  <c r="E251" i="6"/>
  <c r="D251" i="6"/>
  <c r="A251" i="6"/>
  <c r="E250" i="6"/>
  <c r="D250" i="6"/>
  <c r="A250" i="6"/>
  <c r="E249" i="6"/>
  <c r="D249" i="6"/>
  <c r="A249" i="6"/>
  <c r="E248" i="6"/>
  <c r="D248" i="6"/>
  <c r="A248" i="6"/>
  <c r="E247" i="6"/>
  <c r="D247" i="6"/>
  <c r="A247" i="6"/>
  <c r="E246" i="6"/>
  <c r="D246" i="6"/>
  <c r="A246" i="6"/>
  <c r="E245" i="6"/>
  <c r="D245" i="6"/>
  <c r="A245" i="6"/>
  <c r="E244" i="6"/>
  <c r="D244" i="6"/>
  <c r="A244" i="6"/>
  <c r="E243" i="6"/>
  <c r="D243" i="6"/>
  <c r="A243" i="6"/>
  <c r="E242" i="6"/>
  <c r="D242" i="6"/>
  <c r="A242" i="6"/>
  <c r="E241" i="6"/>
  <c r="D241" i="6"/>
  <c r="A241" i="6"/>
  <c r="E240" i="6"/>
  <c r="D240" i="6"/>
  <c r="A240" i="6"/>
  <c r="E239" i="6"/>
  <c r="D239" i="6"/>
  <c r="A239" i="6"/>
  <c r="E238" i="6"/>
  <c r="D238" i="6"/>
  <c r="A238" i="6"/>
  <c r="E237" i="6"/>
  <c r="D237" i="6"/>
  <c r="A237" i="6"/>
  <c r="E236" i="6"/>
  <c r="D236" i="6"/>
  <c r="A236" i="6"/>
  <c r="E235" i="6"/>
  <c r="D235" i="6"/>
  <c r="A235" i="6"/>
  <c r="E234" i="6"/>
  <c r="D234" i="6"/>
  <c r="A234" i="6"/>
  <c r="E233" i="6"/>
  <c r="D233" i="6"/>
  <c r="A233" i="6"/>
  <c r="E232" i="6"/>
  <c r="D232" i="6"/>
  <c r="A232" i="6"/>
  <c r="E231" i="6"/>
  <c r="D231" i="6"/>
  <c r="A231" i="6"/>
  <c r="E230" i="6"/>
  <c r="D230" i="6"/>
  <c r="A230" i="6"/>
  <c r="E229" i="6"/>
  <c r="D229" i="6"/>
  <c r="A229" i="6"/>
  <c r="E228" i="6"/>
  <c r="D228" i="6"/>
  <c r="A228" i="6"/>
  <c r="E227" i="6"/>
  <c r="D227" i="6"/>
  <c r="A227" i="6"/>
  <c r="E226" i="6"/>
  <c r="D226" i="6"/>
  <c r="A226" i="6"/>
  <c r="E225" i="6"/>
  <c r="D225" i="6"/>
  <c r="A225" i="6"/>
  <c r="E224" i="6"/>
  <c r="D224" i="6"/>
  <c r="A224" i="6"/>
  <c r="E223" i="6"/>
  <c r="D223" i="6"/>
  <c r="A223" i="6"/>
  <c r="E222" i="6"/>
  <c r="D222" i="6"/>
  <c r="A222" i="6"/>
  <c r="E221" i="6"/>
  <c r="D221" i="6"/>
  <c r="A221" i="6"/>
  <c r="E220" i="6"/>
  <c r="D220" i="6"/>
  <c r="A220" i="6"/>
  <c r="E219" i="6"/>
  <c r="D219" i="6"/>
  <c r="A219" i="6"/>
  <c r="E218" i="6"/>
  <c r="D218" i="6"/>
  <c r="A218" i="6"/>
  <c r="E217" i="6"/>
  <c r="D217" i="6"/>
  <c r="A217" i="6"/>
  <c r="E216" i="6"/>
  <c r="D216" i="6"/>
  <c r="A216" i="6"/>
  <c r="E215" i="6"/>
  <c r="D215" i="6"/>
  <c r="A215" i="6"/>
  <c r="E214" i="6"/>
  <c r="D214" i="6"/>
  <c r="A214" i="6"/>
  <c r="E213" i="6"/>
  <c r="D213" i="6"/>
  <c r="A213" i="6"/>
  <c r="E212" i="6"/>
  <c r="D212" i="6"/>
  <c r="A212" i="6"/>
  <c r="E211" i="6"/>
  <c r="D211" i="6"/>
  <c r="A211" i="6"/>
  <c r="E210" i="6"/>
  <c r="D210" i="6"/>
  <c r="A210" i="6"/>
  <c r="E209" i="6"/>
  <c r="D209" i="6"/>
  <c r="A209" i="6"/>
  <c r="E208" i="6"/>
  <c r="D208" i="6"/>
  <c r="A208" i="6"/>
  <c r="E207" i="6"/>
  <c r="D207" i="6"/>
  <c r="A207" i="6"/>
  <c r="E206" i="6"/>
  <c r="D206" i="6"/>
  <c r="A206" i="6"/>
  <c r="E205" i="6"/>
  <c r="D205" i="6"/>
  <c r="A205" i="6"/>
  <c r="E204" i="6"/>
  <c r="D204" i="6"/>
  <c r="A204" i="6"/>
  <c r="E203" i="6"/>
  <c r="D203" i="6"/>
  <c r="A203" i="6"/>
  <c r="E202" i="6"/>
  <c r="D202" i="6"/>
  <c r="A202" i="6"/>
  <c r="E201" i="6"/>
  <c r="D201" i="6"/>
  <c r="A201" i="6"/>
  <c r="E200" i="6"/>
  <c r="D200" i="6"/>
  <c r="A200" i="6"/>
  <c r="E199" i="6"/>
  <c r="D199" i="6"/>
  <c r="A199" i="6"/>
  <c r="E198" i="6"/>
  <c r="D198" i="6"/>
  <c r="A198" i="6"/>
  <c r="E197" i="6"/>
  <c r="D197" i="6"/>
  <c r="A197" i="6"/>
  <c r="E196" i="6"/>
  <c r="D196" i="6"/>
  <c r="A196" i="6"/>
  <c r="E195" i="6"/>
  <c r="D195" i="6"/>
  <c r="A195" i="6"/>
  <c r="E194" i="6"/>
  <c r="D194" i="6"/>
  <c r="A194" i="6"/>
  <c r="E193" i="6"/>
  <c r="D193" i="6"/>
  <c r="A193" i="6"/>
  <c r="E192" i="6"/>
  <c r="D192" i="6"/>
  <c r="A192" i="6"/>
  <c r="E191" i="6"/>
  <c r="D191" i="6"/>
  <c r="A191" i="6"/>
  <c r="E190" i="6"/>
  <c r="D190" i="6"/>
  <c r="A190" i="6"/>
  <c r="E189" i="6"/>
  <c r="D189" i="6"/>
  <c r="A189" i="6"/>
  <c r="E188" i="6"/>
  <c r="D188" i="6"/>
  <c r="A188" i="6"/>
  <c r="E187" i="6"/>
  <c r="D187" i="6"/>
  <c r="A187" i="6"/>
  <c r="E186" i="6"/>
  <c r="D186" i="6"/>
  <c r="A186" i="6"/>
  <c r="E185" i="6"/>
  <c r="D185" i="6"/>
  <c r="A185" i="6"/>
  <c r="E184" i="6"/>
  <c r="D184" i="6"/>
  <c r="A184" i="6"/>
  <c r="E183" i="6"/>
  <c r="D183" i="6"/>
  <c r="A183" i="6"/>
  <c r="E182" i="6"/>
  <c r="D182" i="6"/>
  <c r="A182" i="6"/>
  <c r="E181" i="6"/>
  <c r="D181" i="6"/>
  <c r="A181" i="6"/>
  <c r="E180" i="6"/>
  <c r="D180" i="6"/>
  <c r="A180" i="6"/>
  <c r="E179" i="6"/>
  <c r="D179" i="6"/>
  <c r="A179" i="6"/>
  <c r="E178" i="6"/>
  <c r="D178" i="6"/>
  <c r="A178" i="6"/>
  <c r="E177" i="6"/>
  <c r="D177" i="6"/>
  <c r="A177" i="6"/>
  <c r="E176" i="6"/>
  <c r="D176" i="6"/>
  <c r="A176" i="6"/>
  <c r="E175" i="6"/>
  <c r="D175" i="6"/>
  <c r="A175" i="6"/>
  <c r="E174" i="6"/>
  <c r="D174" i="6"/>
  <c r="A174" i="6"/>
  <c r="E173" i="6"/>
  <c r="D173" i="6"/>
  <c r="A173" i="6"/>
  <c r="E172" i="6"/>
  <c r="D172" i="6"/>
  <c r="A172" i="6"/>
  <c r="E171" i="6"/>
  <c r="D171" i="6"/>
  <c r="A171" i="6"/>
  <c r="E170" i="6"/>
  <c r="D170" i="6"/>
  <c r="A170" i="6"/>
  <c r="E169" i="6"/>
  <c r="D169" i="6"/>
  <c r="A169" i="6"/>
  <c r="E168" i="6"/>
  <c r="D168" i="6"/>
  <c r="A168" i="6"/>
  <c r="E167" i="6"/>
  <c r="D167" i="6"/>
  <c r="A167" i="6"/>
  <c r="E166" i="6"/>
  <c r="D166" i="6"/>
  <c r="A166" i="6"/>
  <c r="E165" i="6"/>
  <c r="D165" i="6"/>
  <c r="A165" i="6"/>
  <c r="E164" i="6"/>
  <c r="D164" i="6"/>
  <c r="A164" i="6"/>
  <c r="E163" i="6"/>
  <c r="D163" i="6"/>
  <c r="A163" i="6"/>
  <c r="E162" i="6"/>
  <c r="D162" i="6"/>
  <c r="A162" i="6"/>
  <c r="E161" i="6"/>
  <c r="D161" i="6"/>
  <c r="A161" i="6"/>
  <c r="E160" i="6"/>
  <c r="D160" i="6"/>
  <c r="A160" i="6"/>
  <c r="E159" i="6"/>
  <c r="D159" i="6"/>
  <c r="A159" i="6"/>
  <c r="E158" i="6"/>
  <c r="D158" i="6"/>
  <c r="A158" i="6"/>
  <c r="E157" i="6"/>
  <c r="D157" i="6"/>
  <c r="A157" i="6"/>
  <c r="E156" i="6"/>
  <c r="D156" i="6"/>
  <c r="A156" i="6"/>
  <c r="E155" i="6"/>
  <c r="D155" i="6"/>
  <c r="A155" i="6"/>
  <c r="E154" i="6"/>
  <c r="D154" i="6"/>
  <c r="A154" i="6"/>
  <c r="E153" i="6"/>
  <c r="D153" i="6"/>
  <c r="A153" i="6"/>
  <c r="E152" i="6"/>
  <c r="D152" i="6"/>
  <c r="A152" i="6"/>
  <c r="E151" i="6"/>
  <c r="D151" i="6"/>
  <c r="A151" i="6"/>
  <c r="E150" i="6"/>
  <c r="D150" i="6"/>
  <c r="A150" i="6"/>
  <c r="E149" i="6"/>
  <c r="D149" i="6"/>
  <c r="A149" i="6"/>
  <c r="E148" i="6"/>
  <c r="D148" i="6"/>
  <c r="A148" i="6"/>
  <c r="E147" i="6"/>
  <c r="D147" i="6"/>
  <c r="A147" i="6"/>
  <c r="E146" i="6"/>
  <c r="D146" i="6"/>
  <c r="A146" i="6"/>
  <c r="E145" i="6"/>
  <c r="D145" i="6"/>
  <c r="A145" i="6"/>
  <c r="E144" i="6"/>
  <c r="D144" i="6"/>
  <c r="A144" i="6"/>
  <c r="E143" i="6"/>
  <c r="D143" i="6"/>
  <c r="A143" i="6"/>
  <c r="E142" i="6"/>
  <c r="D142" i="6"/>
  <c r="A142" i="6"/>
  <c r="E141" i="6"/>
  <c r="D141" i="6"/>
  <c r="A141" i="6"/>
  <c r="E140" i="6"/>
  <c r="D140" i="6"/>
  <c r="A140" i="6"/>
  <c r="E139" i="6"/>
  <c r="D139" i="6"/>
  <c r="A139" i="6"/>
  <c r="E138" i="6"/>
  <c r="D138" i="6"/>
  <c r="A138" i="6"/>
  <c r="E137" i="6"/>
  <c r="D137" i="6"/>
  <c r="A137" i="6"/>
  <c r="E136" i="6"/>
  <c r="D136" i="6"/>
  <c r="A136" i="6"/>
  <c r="E135" i="6"/>
  <c r="D135" i="6"/>
  <c r="A135" i="6"/>
  <c r="E134" i="6"/>
  <c r="D134" i="6"/>
  <c r="A134" i="6"/>
  <c r="E133" i="6"/>
  <c r="D133" i="6"/>
  <c r="A133" i="6"/>
  <c r="E132" i="6"/>
  <c r="D132" i="6"/>
  <c r="A132" i="6"/>
  <c r="E131" i="6"/>
  <c r="D131" i="6"/>
  <c r="A131" i="6"/>
  <c r="E130" i="6"/>
  <c r="D130" i="6"/>
  <c r="A130" i="6"/>
  <c r="E129" i="6"/>
  <c r="D129" i="6"/>
  <c r="A129" i="6"/>
  <c r="E128" i="6"/>
  <c r="D128" i="6"/>
  <c r="A128" i="6"/>
  <c r="E127" i="6"/>
  <c r="D127" i="6"/>
  <c r="A127" i="6"/>
  <c r="E126" i="6"/>
  <c r="D126" i="6"/>
  <c r="A126" i="6"/>
  <c r="E125" i="6"/>
  <c r="D125" i="6"/>
  <c r="A125" i="6"/>
  <c r="E124" i="6"/>
  <c r="D124" i="6"/>
  <c r="A124" i="6"/>
  <c r="E123" i="6"/>
  <c r="D123" i="6"/>
  <c r="A123" i="6"/>
  <c r="E122" i="6"/>
  <c r="D122" i="6"/>
  <c r="A122" i="6"/>
  <c r="E121" i="6"/>
  <c r="D121" i="6"/>
  <c r="A121" i="6"/>
  <c r="E120" i="6"/>
  <c r="D120" i="6"/>
  <c r="A120" i="6"/>
  <c r="E119" i="6"/>
  <c r="D119" i="6"/>
  <c r="A119" i="6"/>
  <c r="E118" i="6"/>
  <c r="D118" i="6"/>
  <c r="A118" i="6"/>
  <c r="E117" i="6"/>
  <c r="D117" i="6"/>
  <c r="A117" i="6"/>
  <c r="E116" i="6"/>
  <c r="D116" i="6"/>
  <c r="A116" i="6"/>
  <c r="E115" i="6"/>
  <c r="D115" i="6"/>
  <c r="A115" i="6"/>
  <c r="E114" i="6"/>
  <c r="D114" i="6"/>
  <c r="A114" i="6"/>
  <c r="E113" i="6"/>
  <c r="D113" i="6"/>
  <c r="A113" i="6"/>
  <c r="E112" i="6"/>
  <c r="D112" i="6"/>
  <c r="A112" i="6"/>
  <c r="E111" i="6"/>
  <c r="D111" i="6"/>
  <c r="A111" i="6"/>
  <c r="E110" i="6"/>
  <c r="D110" i="6"/>
  <c r="A110" i="6"/>
  <c r="E109" i="6"/>
  <c r="D109" i="6"/>
  <c r="A109" i="6"/>
  <c r="E108" i="6"/>
  <c r="D108" i="6"/>
  <c r="A108" i="6"/>
  <c r="E107" i="6"/>
  <c r="D107" i="6"/>
  <c r="A107" i="6"/>
  <c r="E106" i="6"/>
  <c r="D106" i="6"/>
  <c r="A106" i="6"/>
  <c r="E105" i="6"/>
  <c r="D105" i="6"/>
  <c r="A105" i="6"/>
  <c r="E104" i="6"/>
  <c r="D104" i="6"/>
  <c r="A104" i="6"/>
  <c r="E103" i="6"/>
  <c r="D103" i="6"/>
  <c r="A103" i="6"/>
  <c r="E102" i="6"/>
  <c r="D102" i="6"/>
  <c r="A102" i="6"/>
  <c r="E101" i="6"/>
  <c r="D101" i="6"/>
  <c r="A101" i="6"/>
  <c r="E100" i="6"/>
  <c r="D100" i="6"/>
  <c r="A100" i="6"/>
  <c r="E99" i="6"/>
  <c r="D99" i="6"/>
  <c r="A99" i="6"/>
  <c r="E98" i="6"/>
  <c r="D98" i="6"/>
  <c r="A98" i="6"/>
  <c r="E97" i="6"/>
  <c r="D97" i="6"/>
  <c r="A97" i="6"/>
  <c r="E96" i="6"/>
  <c r="D96" i="6"/>
  <c r="A96" i="6"/>
  <c r="E95" i="6"/>
  <c r="D95" i="6"/>
  <c r="A95" i="6"/>
  <c r="E94" i="6"/>
  <c r="D94" i="6"/>
  <c r="A94" i="6"/>
  <c r="E93" i="6"/>
  <c r="D93" i="6"/>
  <c r="A93" i="6"/>
  <c r="E92" i="6"/>
  <c r="D92" i="6"/>
  <c r="A92" i="6"/>
  <c r="E91" i="6"/>
  <c r="D91" i="6"/>
  <c r="A91" i="6"/>
  <c r="E90" i="6"/>
  <c r="D90" i="6"/>
  <c r="A90" i="6"/>
  <c r="E89" i="6"/>
  <c r="D89" i="6"/>
  <c r="A89" i="6"/>
  <c r="E88" i="6"/>
  <c r="D88" i="6"/>
  <c r="A88" i="6"/>
  <c r="E87" i="6"/>
  <c r="D87" i="6"/>
  <c r="A87" i="6"/>
  <c r="E86" i="6"/>
  <c r="D86" i="6"/>
  <c r="A86" i="6"/>
  <c r="E85" i="6"/>
  <c r="D85" i="6"/>
  <c r="A85" i="6"/>
  <c r="E84" i="6"/>
  <c r="D84" i="6"/>
  <c r="A84" i="6"/>
  <c r="E83" i="6"/>
  <c r="D83" i="6"/>
  <c r="A83" i="6"/>
  <c r="E82" i="6"/>
  <c r="D82" i="6"/>
  <c r="A82" i="6"/>
  <c r="E81" i="6"/>
  <c r="D81" i="6"/>
  <c r="A81" i="6"/>
  <c r="E80" i="6"/>
  <c r="D80" i="6"/>
  <c r="A80" i="6"/>
  <c r="E79" i="6"/>
  <c r="D79" i="6"/>
  <c r="A79" i="6"/>
  <c r="E78" i="6"/>
  <c r="D78" i="6"/>
  <c r="A78" i="6"/>
  <c r="E77" i="6"/>
  <c r="D77" i="6"/>
  <c r="A77" i="6"/>
  <c r="E76" i="6"/>
  <c r="D76" i="6"/>
  <c r="A76" i="6"/>
  <c r="E75" i="6"/>
  <c r="D75" i="6"/>
  <c r="A75" i="6"/>
  <c r="E74" i="6"/>
  <c r="D74" i="6"/>
  <c r="A74" i="6"/>
  <c r="E73" i="6"/>
  <c r="D73" i="6"/>
  <c r="A73" i="6"/>
  <c r="E72" i="6"/>
  <c r="D72" i="6"/>
  <c r="A72" i="6"/>
  <c r="E71" i="6"/>
  <c r="D71" i="6"/>
  <c r="A71" i="6"/>
  <c r="E70" i="6"/>
  <c r="D70" i="6"/>
  <c r="A70" i="6"/>
  <c r="E69" i="6"/>
  <c r="D69" i="6"/>
  <c r="A69" i="6"/>
  <c r="E68" i="6"/>
  <c r="D68" i="6"/>
  <c r="A68" i="6"/>
  <c r="E67" i="6"/>
  <c r="D67" i="6"/>
  <c r="A67" i="6"/>
  <c r="E66" i="6"/>
  <c r="D66" i="6"/>
  <c r="A66" i="6"/>
  <c r="E65" i="6"/>
  <c r="D65" i="6"/>
  <c r="A65" i="6"/>
  <c r="E64" i="6"/>
  <c r="D64" i="6"/>
  <c r="A64" i="6"/>
  <c r="E63" i="6"/>
  <c r="D63" i="6"/>
  <c r="A63" i="6"/>
  <c r="E62" i="6"/>
  <c r="D62" i="6"/>
  <c r="A62" i="6"/>
  <c r="E61" i="6"/>
  <c r="D61" i="6"/>
  <c r="A61" i="6"/>
  <c r="E60" i="6"/>
  <c r="D60" i="6"/>
  <c r="A60" i="6"/>
  <c r="E59" i="6"/>
  <c r="D59" i="6"/>
  <c r="A59" i="6"/>
  <c r="E58" i="6"/>
  <c r="D58" i="6"/>
  <c r="A58" i="6"/>
  <c r="E57" i="6"/>
  <c r="D57" i="6"/>
  <c r="A57" i="6"/>
  <c r="E56" i="6"/>
  <c r="D56" i="6"/>
  <c r="A56" i="6"/>
  <c r="E55" i="6"/>
  <c r="D55" i="6"/>
  <c r="A55" i="6"/>
  <c r="E54" i="6"/>
  <c r="D54" i="6"/>
  <c r="A54" i="6"/>
  <c r="E53" i="6"/>
  <c r="D53" i="6"/>
  <c r="A53" i="6"/>
  <c r="E52" i="6"/>
  <c r="D52" i="6"/>
  <c r="A52" i="6"/>
  <c r="E51" i="6"/>
  <c r="D51" i="6"/>
  <c r="A51" i="6"/>
  <c r="E50" i="6"/>
  <c r="D50" i="6"/>
  <c r="A50" i="6"/>
  <c r="E49" i="6"/>
  <c r="D49" i="6"/>
  <c r="A49" i="6"/>
  <c r="E48" i="6"/>
  <c r="D48" i="6"/>
  <c r="A48" i="6"/>
  <c r="E47" i="6"/>
  <c r="D47" i="6"/>
  <c r="A47" i="6"/>
  <c r="E46" i="6"/>
  <c r="D46" i="6"/>
  <c r="A46" i="6"/>
  <c r="E45" i="6"/>
  <c r="D45" i="6"/>
  <c r="A45" i="6"/>
  <c r="E44" i="6"/>
  <c r="D44" i="6"/>
  <c r="A44" i="6"/>
  <c r="E43" i="6"/>
  <c r="D43" i="6"/>
  <c r="A43" i="6"/>
  <c r="E42" i="6"/>
  <c r="D42" i="6"/>
  <c r="A42" i="6"/>
  <c r="E41" i="6"/>
  <c r="D41" i="6"/>
  <c r="A41" i="6"/>
  <c r="E40" i="6"/>
  <c r="D40" i="6"/>
  <c r="A40" i="6"/>
  <c r="E39" i="6"/>
  <c r="D39" i="6"/>
  <c r="A39" i="6"/>
  <c r="E38" i="6"/>
  <c r="D38" i="6"/>
  <c r="A38" i="6"/>
  <c r="E37" i="6"/>
  <c r="D37" i="6"/>
  <c r="A37" i="6"/>
  <c r="E36" i="6"/>
  <c r="D36" i="6"/>
  <c r="A36" i="6"/>
  <c r="E35" i="6"/>
  <c r="D35" i="6"/>
  <c r="A35" i="6"/>
  <c r="E34" i="6"/>
  <c r="D34" i="6"/>
  <c r="A34" i="6"/>
  <c r="E33" i="6"/>
  <c r="D33" i="6"/>
  <c r="A33" i="6"/>
  <c r="E32" i="6"/>
  <c r="D32" i="6"/>
  <c r="A32" i="6"/>
  <c r="E31" i="6"/>
  <c r="D31" i="6"/>
  <c r="A31" i="6"/>
  <c r="E30" i="6"/>
  <c r="D30" i="6"/>
  <c r="A30" i="6"/>
  <c r="E29" i="6"/>
  <c r="D29" i="6"/>
  <c r="A29" i="6"/>
  <c r="E28" i="6"/>
  <c r="D28" i="6"/>
  <c r="A28" i="6"/>
  <c r="E27" i="6"/>
  <c r="D27" i="6"/>
  <c r="A27" i="6"/>
  <c r="E26" i="6"/>
  <c r="D26" i="6"/>
  <c r="A26" i="6"/>
  <c r="E25" i="6"/>
  <c r="D25" i="6"/>
  <c r="A25" i="6"/>
  <c r="E24" i="6"/>
  <c r="D24" i="6"/>
  <c r="A24" i="6"/>
  <c r="E23" i="6"/>
  <c r="D23" i="6"/>
  <c r="A23" i="6"/>
  <c r="E22" i="6"/>
  <c r="D22" i="6"/>
  <c r="A22" i="6"/>
  <c r="E21" i="6"/>
  <c r="D21" i="6"/>
  <c r="A21" i="6"/>
  <c r="E20" i="6"/>
  <c r="D20" i="6"/>
  <c r="A20" i="6"/>
  <c r="E19" i="6"/>
  <c r="D19" i="6"/>
  <c r="A19" i="6"/>
  <c r="E18" i="6"/>
  <c r="D18" i="6"/>
  <c r="A18" i="6"/>
  <c r="E17" i="6"/>
  <c r="D17" i="6"/>
  <c r="A17" i="6"/>
  <c r="E16" i="6"/>
  <c r="D16" i="6"/>
  <c r="A16" i="6"/>
  <c r="E15" i="6"/>
  <c r="D15" i="6"/>
  <c r="A15" i="6"/>
  <c r="E14" i="6"/>
  <c r="D14" i="6"/>
  <c r="A14" i="6"/>
  <c r="E13" i="6"/>
  <c r="D13" i="6"/>
  <c r="A13" i="6"/>
  <c r="E12" i="6"/>
  <c r="D12" i="6"/>
  <c r="A12" i="6"/>
  <c r="E11" i="6"/>
  <c r="D11" i="6"/>
  <c r="A11" i="6"/>
  <c r="E10" i="6"/>
  <c r="D10" i="6"/>
  <c r="A10" i="6"/>
  <c r="E9" i="6"/>
  <c r="D9" i="6"/>
  <c r="A9" i="6"/>
  <c r="E8" i="6"/>
  <c r="D8" i="6"/>
  <c r="A8" i="6"/>
  <c r="E7" i="6"/>
  <c r="D7" i="6"/>
  <c r="A7" i="6"/>
  <c r="E6" i="6"/>
  <c r="D6" i="6"/>
  <c r="A6" i="6"/>
  <c r="E5" i="6"/>
  <c r="D5" i="6"/>
  <c r="A5" i="6"/>
  <c r="E4" i="6"/>
  <c r="D4" i="6"/>
  <c r="A4" i="6"/>
  <c r="E3" i="6"/>
  <c r="D3" i="6"/>
  <c r="A3" i="6"/>
  <c r="E2" i="6"/>
  <c r="D2" i="6"/>
  <c r="A2" i="6"/>
  <c r="E12" i="5"/>
  <c r="D12" i="5"/>
  <c r="C12" i="5"/>
  <c r="A12" i="5"/>
  <c r="E11" i="5"/>
  <c r="D11" i="5"/>
  <c r="C11" i="5"/>
  <c r="A11" i="5"/>
  <c r="E10" i="5"/>
  <c r="D10" i="5"/>
  <c r="C10" i="5"/>
  <c r="A10" i="5"/>
  <c r="E9" i="5"/>
  <c r="D9" i="5"/>
  <c r="C9" i="5"/>
  <c r="A9" i="5"/>
  <c r="E8" i="5"/>
  <c r="D8" i="5"/>
  <c r="C8" i="5"/>
  <c r="A8" i="5"/>
  <c r="E7" i="5"/>
  <c r="D7" i="5"/>
  <c r="C7" i="5"/>
  <c r="A7" i="5"/>
  <c r="E6" i="5"/>
  <c r="D6" i="5"/>
  <c r="C6" i="5"/>
  <c r="A6" i="5"/>
  <c r="E5" i="5"/>
  <c r="D5" i="5"/>
  <c r="C5" i="5"/>
  <c r="A5" i="5"/>
  <c r="E4" i="5"/>
  <c r="D4" i="5"/>
  <c r="C4" i="5"/>
  <c r="A4" i="5"/>
  <c r="E3" i="5"/>
  <c r="D3" i="5"/>
  <c r="C3" i="5"/>
  <c r="A3" i="5"/>
  <c r="C2" i="5"/>
  <c r="A2" i="5"/>
  <c r="C12" i="4"/>
  <c r="A12" i="4"/>
  <c r="C11" i="4"/>
  <c r="A11" i="4"/>
  <c r="C10" i="4"/>
  <c r="A10" i="4"/>
  <c r="C9" i="4"/>
  <c r="A9" i="4"/>
  <c r="C8" i="4"/>
  <c r="A8" i="4"/>
  <c r="C7" i="4"/>
  <c r="A7" i="4"/>
  <c r="C6" i="4"/>
  <c r="A6" i="4"/>
  <c r="C5" i="4"/>
  <c r="A5" i="4"/>
  <c r="C4" i="4"/>
  <c r="A4" i="4"/>
  <c r="C3" i="4"/>
  <c r="A3" i="4"/>
  <c r="C2" i="4"/>
  <c r="A2" i="4"/>
  <c r="F20" i="3"/>
  <c r="E20" i="3"/>
  <c r="D20" i="3"/>
  <c r="C20" i="3"/>
  <c r="A20" i="3"/>
  <c r="F19" i="3"/>
  <c r="E19" i="3"/>
  <c r="D19" i="3"/>
  <c r="C19" i="3"/>
  <c r="A19" i="3"/>
  <c r="F18" i="3"/>
  <c r="E18" i="3"/>
  <c r="D18" i="3"/>
  <c r="C18" i="3"/>
  <c r="A18" i="3"/>
  <c r="F17" i="3"/>
  <c r="E17" i="3"/>
  <c r="D17" i="3"/>
  <c r="C17" i="3"/>
  <c r="A17" i="3"/>
  <c r="F16" i="3"/>
  <c r="E16" i="3"/>
  <c r="D16" i="3"/>
  <c r="C16" i="3"/>
  <c r="A16" i="3"/>
  <c r="F15" i="3"/>
  <c r="E15" i="3"/>
  <c r="D15" i="3"/>
  <c r="C15" i="3"/>
  <c r="A15" i="3"/>
  <c r="F14" i="3"/>
  <c r="E14" i="3"/>
  <c r="D14" i="3"/>
  <c r="C14" i="3"/>
  <c r="A14" i="3"/>
  <c r="F13" i="3"/>
  <c r="E13" i="3"/>
  <c r="D13" i="3"/>
  <c r="C13" i="3"/>
  <c r="A13" i="3"/>
  <c r="F12" i="3"/>
  <c r="E12" i="3"/>
  <c r="D12" i="3"/>
  <c r="C12" i="3"/>
  <c r="A12" i="3"/>
  <c r="F11" i="3"/>
  <c r="E11" i="3"/>
  <c r="D11" i="3"/>
  <c r="C11" i="3"/>
  <c r="A11" i="3"/>
  <c r="F10" i="3"/>
  <c r="E10" i="3"/>
  <c r="D10" i="3"/>
  <c r="C10" i="3"/>
  <c r="A10" i="3"/>
  <c r="F9" i="3"/>
  <c r="E9" i="3"/>
  <c r="D9" i="3"/>
  <c r="C9" i="3"/>
  <c r="A9" i="3"/>
  <c r="F8" i="3"/>
  <c r="E8" i="3"/>
  <c r="D8" i="3"/>
  <c r="C8" i="3"/>
  <c r="A8" i="3"/>
  <c r="F7" i="3"/>
  <c r="E7" i="3"/>
  <c r="D7" i="3"/>
  <c r="C7" i="3"/>
  <c r="A7" i="3"/>
  <c r="F6" i="3"/>
  <c r="E6" i="3"/>
  <c r="D6" i="3"/>
  <c r="C6" i="3"/>
  <c r="A6" i="3"/>
  <c r="F5" i="3"/>
  <c r="E5" i="3"/>
  <c r="D5" i="3"/>
  <c r="C5" i="3"/>
  <c r="A5" i="3"/>
  <c r="F4" i="3"/>
  <c r="E4" i="3"/>
  <c r="D4" i="3"/>
  <c r="C4" i="3"/>
  <c r="A4" i="3"/>
  <c r="F3" i="3"/>
  <c r="E3" i="3"/>
  <c r="D3" i="3"/>
  <c r="C3" i="3"/>
  <c r="A3" i="3"/>
  <c r="F2" i="3"/>
  <c r="E2" i="3"/>
  <c r="D2" i="3"/>
  <c r="C2" i="3"/>
  <c r="A2" i="3"/>
  <c r="H27" i="2"/>
  <c r="G27" i="2"/>
  <c r="E27" i="2"/>
  <c r="D27" i="2"/>
  <c r="C27" i="2"/>
  <c r="A27" i="2"/>
  <c r="H26" i="2"/>
  <c r="G26" i="2"/>
  <c r="E26" i="2"/>
  <c r="D26" i="2"/>
  <c r="C26" i="2"/>
  <c r="A26" i="2"/>
  <c r="H25" i="2"/>
  <c r="G25" i="2"/>
  <c r="E25" i="2"/>
  <c r="D25" i="2"/>
  <c r="C25" i="2"/>
  <c r="A25" i="2"/>
  <c r="H24" i="2"/>
  <c r="G24" i="2"/>
  <c r="E24" i="2"/>
  <c r="D24" i="2"/>
  <c r="C24" i="2"/>
  <c r="A24" i="2"/>
  <c r="H23" i="2"/>
  <c r="G23" i="2"/>
  <c r="E23" i="2"/>
  <c r="D23" i="2"/>
  <c r="C23" i="2"/>
  <c r="A23" i="2"/>
  <c r="H22" i="2"/>
  <c r="G22" i="2"/>
  <c r="E22" i="2"/>
  <c r="D22" i="2"/>
  <c r="C22" i="2"/>
  <c r="A22" i="2"/>
  <c r="H21" i="2"/>
  <c r="G21" i="2"/>
  <c r="E21" i="2"/>
  <c r="D21" i="2"/>
  <c r="C21" i="2"/>
  <c r="A21" i="2"/>
  <c r="H20" i="2"/>
  <c r="G20" i="2"/>
  <c r="E20" i="2"/>
  <c r="D20" i="2"/>
  <c r="C20" i="2"/>
  <c r="A20" i="2"/>
  <c r="H19" i="2"/>
  <c r="G19" i="2"/>
  <c r="E19" i="2"/>
  <c r="D19" i="2"/>
  <c r="C19" i="2"/>
  <c r="A19" i="2"/>
  <c r="H18" i="2"/>
  <c r="G18" i="2"/>
  <c r="E18" i="2"/>
  <c r="D18" i="2"/>
  <c r="C18" i="2"/>
  <c r="A18" i="2"/>
  <c r="H17" i="2"/>
  <c r="G17" i="2"/>
  <c r="E17" i="2"/>
  <c r="D17" i="2"/>
  <c r="C17" i="2"/>
  <c r="A17" i="2"/>
  <c r="H16" i="2"/>
  <c r="G16" i="2"/>
  <c r="E16" i="2"/>
  <c r="D16" i="2"/>
  <c r="C16" i="2"/>
  <c r="A16" i="2"/>
  <c r="H15" i="2"/>
  <c r="G15" i="2"/>
  <c r="E15" i="2"/>
  <c r="D15" i="2"/>
  <c r="C15" i="2"/>
  <c r="A15" i="2"/>
  <c r="H14" i="2"/>
  <c r="G14" i="2"/>
  <c r="E14" i="2"/>
  <c r="D14" i="2"/>
  <c r="C14" i="2"/>
  <c r="A14" i="2"/>
  <c r="H13" i="2"/>
  <c r="G13" i="2"/>
  <c r="E13" i="2"/>
  <c r="D13" i="2"/>
  <c r="C13" i="2"/>
  <c r="A13" i="2"/>
  <c r="H12" i="2"/>
  <c r="G12" i="2"/>
  <c r="E12" i="2"/>
  <c r="D12" i="2"/>
  <c r="C12" i="2"/>
  <c r="A12" i="2"/>
  <c r="H11" i="2"/>
  <c r="G11" i="2"/>
  <c r="E11" i="2"/>
  <c r="D11" i="2"/>
  <c r="C11" i="2"/>
  <c r="A11" i="2"/>
  <c r="H10" i="2"/>
  <c r="G10" i="2"/>
  <c r="E10" i="2"/>
  <c r="D10" i="2"/>
  <c r="C10" i="2"/>
  <c r="A10" i="2"/>
  <c r="H9" i="2"/>
  <c r="G9" i="2"/>
  <c r="E9" i="2"/>
  <c r="D9" i="2"/>
  <c r="C9" i="2"/>
  <c r="A9" i="2"/>
  <c r="H8" i="2"/>
  <c r="G8" i="2"/>
  <c r="E8" i="2"/>
  <c r="D8" i="2"/>
  <c r="C8" i="2"/>
  <c r="A8" i="2"/>
  <c r="H7" i="2"/>
  <c r="G7" i="2"/>
  <c r="E7" i="2"/>
  <c r="D7" i="2"/>
  <c r="C7" i="2"/>
  <c r="A7" i="2"/>
  <c r="H6" i="2"/>
  <c r="G6" i="2"/>
  <c r="E6" i="2"/>
  <c r="D6" i="2"/>
  <c r="C6" i="2"/>
  <c r="A6" i="2"/>
  <c r="H5" i="2"/>
  <c r="G5" i="2"/>
  <c r="E5" i="2"/>
  <c r="D5" i="2"/>
  <c r="C5" i="2"/>
  <c r="A5" i="2"/>
  <c r="H4" i="2"/>
  <c r="G4" i="2"/>
  <c r="E4" i="2"/>
  <c r="D4" i="2"/>
  <c r="C4" i="2"/>
  <c r="A4" i="2"/>
  <c r="H3" i="2"/>
  <c r="G3" i="2"/>
  <c r="E3" i="2"/>
  <c r="D3" i="2"/>
  <c r="C3" i="2"/>
  <c r="A3" i="2"/>
  <c r="H2" i="2"/>
  <c r="G2" i="2"/>
  <c r="E2" i="2"/>
  <c r="D2" i="2"/>
  <c r="C2" i="2"/>
  <c r="A2" i="2"/>
</calcChain>
</file>

<file path=xl/sharedStrings.xml><?xml version="1.0" encoding="utf-8"?>
<sst xmlns="http://schemas.openxmlformats.org/spreadsheetml/2006/main" count="872" uniqueCount="801">
  <si>
    <t>Account</t>
  </si>
  <si>
    <t>Serial</t>
  </si>
  <si>
    <t>Category</t>
  </si>
  <si>
    <t>Defect</t>
  </si>
  <si>
    <t>Location</t>
  </si>
  <si>
    <t>Station</t>
  </si>
  <si>
    <t>Date</t>
  </si>
  <si>
    <t>isRemoveLot</t>
  </si>
  <si>
    <t>846765010726A004324UX893--1001254904W</t>
  </si>
  <si>
    <t>016</t>
  </si>
  <si>
    <t>846765010726A004503UX893--1001254904W</t>
  </si>
  <si>
    <t>846765010726A005235UX893--1101254904W</t>
  </si>
  <si>
    <t>846765010726A016880UX893--1701254904W</t>
  </si>
  <si>
    <t>846765010726A017019UX893--1701254904W</t>
  </si>
  <si>
    <t>846765010726A012823UX893--1601254903W</t>
  </si>
  <si>
    <t>846765010726A007861UX893--1201254903W</t>
  </si>
  <si>
    <t>846765010726A007927UX893--1201254903W</t>
  </si>
  <si>
    <t>846765010726A007932UX893--1201254903W</t>
  </si>
  <si>
    <t>846765010726A007865UX893--1201254903W</t>
  </si>
  <si>
    <t>846765010726A007866UX893--1201254903W</t>
  </si>
  <si>
    <t>846765010726A007930UX893--1201254903W</t>
  </si>
  <si>
    <t>846765010726A009171UX893--1201254906W</t>
  </si>
  <si>
    <t>846765010726A009172UX893--1201254906W</t>
  </si>
  <si>
    <t>846765010726A008803UX893--1201254906W</t>
  </si>
  <si>
    <t>846765010726A012824UX893--1601254903W</t>
  </si>
  <si>
    <t>846765010726A002916UX893--1001254906W</t>
  </si>
  <si>
    <t>846765010726A000365UX893--0901254901W</t>
  </si>
  <si>
    <t>846765010726A003556UX893--1001254906W</t>
  </si>
  <si>
    <t>846765010725N000737UX893--2701254907W</t>
  </si>
  <si>
    <t>846765010726A001918UX893--1001254906W</t>
  </si>
  <si>
    <t>846765010726A001912UX893--1001254906W</t>
  </si>
  <si>
    <t>846765010726A004061UX893--1001254904W</t>
  </si>
  <si>
    <t>846765010725N000937UX893--2701254907W</t>
  </si>
  <si>
    <t>846765010725N001472UX893--2701254903W</t>
  </si>
  <si>
    <t>846765010725N000837UX893--2701254907W</t>
  </si>
  <si>
    <t>Workorder</t>
  </si>
  <si>
    <t>Model</t>
  </si>
  <si>
    <t>Revision</t>
  </si>
  <si>
    <t>C18317R405130</t>
  </si>
  <si>
    <t>2026-04-30 20:20:00.000</t>
  </si>
  <si>
    <t>C18317R405150</t>
  </si>
  <si>
    <t>2026-04-30 20:20:00.001</t>
  </si>
  <si>
    <t>C18317R405201</t>
  </si>
  <si>
    <t>2026-04-30 20:20:00.002</t>
  </si>
  <si>
    <t>C18317R405136</t>
  </si>
  <si>
    <t>2026-04-30 20:20:00.003</t>
  </si>
  <si>
    <t>C18317R405197</t>
  </si>
  <si>
    <t>2026-04-30 20:20:00.004</t>
  </si>
  <si>
    <t>C18317R405292</t>
  </si>
  <si>
    <t>2026-04-30 20:20:00.005</t>
  </si>
  <si>
    <t>C18317R405215</t>
  </si>
  <si>
    <t>2026-04-30 20:20:00.006</t>
  </si>
  <si>
    <t>C18317R405178</t>
  </si>
  <si>
    <t>2026-04-30 20:20:00.007</t>
  </si>
  <si>
    <t>C18317R405247</t>
  </si>
  <si>
    <t>2026-04-30 20:20:00.008</t>
  </si>
  <si>
    <t>C18317R405188</t>
  </si>
  <si>
    <t>2026-04-30 20:20:00.009</t>
  </si>
  <si>
    <t>C18317R405240</t>
  </si>
  <si>
    <t>2026-04-30 20:20:00.010</t>
  </si>
  <si>
    <t>C18317R405125</t>
  </si>
  <si>
    <t>2026-04-30 20:20:00.011</t>
  </si>
  <si>
    <t>C18317R405321</t>
  </si>
  <si>
    <t>2026-04-30 20:20:00.012</t>
  </si>
  <si>
    <t>C18129R405251</t>
  </si>
  <si>
    <t>2026-04-30 20:20:00.013</t>
  </si>
  <si>
    <t>C18317R405295</t>
  </si>
  <si>
    <t>2026-04-30 20:20:00.014</t>
  </si>
  <si>
    <t>C18317R405222</t>
  </si>
  <si>
    <t>2026-04-30 20:20:00.015</t>
  </si>
  <si>
    <t>C18317R405301</t>
  </si>
  <si>
    <t>2026-04-30 20:20:00.016</t>
  </si>
  <si>
    <t>C18317R405024</t>
  </si>
  <si>
    <t>2026-04-30 20:20:00.017</t>
  </si>
  <si>
    <t>C18317R405216</t>
  </si>
  <si>
    <t>2026-04-30 20:20:00.018</t>
  </si>
  <si>
    <t>Q176925049</t>
  </si>
  <si>
    <t>Q176925055</t>
  </si>
  <si>
    <t>Q176925051</t>
  </si>
  <si>
    <t>Q176925052</t>
  </si>
  <si>
    <t>Q176925053</t>
  </si>
  <si>
    <t>Q176925054</t>
  </si>
  <si>
    <t>Q176925050</t>
  </si>
  <si>
    <t>Q176925056</t>
  </si>
  <si>
    <t>Q176925057</t>
  </si>
  <si>
    <t>Q176925058</t>
  </si>
  <si>
    <t>Q176925059</t>
  </si>
  <si>
    <t>Old Serial</t>
  </si>
  <si>
    <t>New Serial</t>
  </si>
  <si>
    <t>G69840352250578</t>
  </si>
  <si>
    <t>G69840512260001</t>
  </si>
  <si>
    <t>G69840352250583</t>
  </si>
  <si>
    <t>G69840512260002</t>
  </si>
  <si>
    <t>G69840352250581</t>
  </si>
  <si>
    <t>G69840512260003</t>
  </si>
  <si>
    <t>G69840352250585</t>
  </si>
  <si>
    <t>G69840512260004</t>
  </si>
  <si>
    <t>G69840352250584</t>
  </si>
  <si>
    <t>G69840512260005</t>
  </si>
  <si>
    <t>G69840352250592</t>
  </si>
  <si>
    <t>G69840512260006</t>
  </si>
  <si>
    <t>G69840352250571</t>
  </si>
  <si>
    <t>G69840512260007</t>
  </si>
  <si>
    <t>G69840352250390</t>
  </si>
  <si>
    <t>G69840512260008</t>
  </si>
  <si>
    <t>G69840352250071</t>
  </si>
  <si>
    <t>G69840512260009</t>
  </si>
  <si>
    <t>G69840352250325</t>
  </si>
  <si>
    <t>G69840512260010</t>
  </si>
  <si>
    <t>G69840352250018</t>
  </si>
  <si>
    <t>G69840512260011</t>
  </si>
  <si>
    <t>G69840352250072</t>
  </si>
  <si>
    <t>G69840512260012</t>
  </si>
  <si>
    <t>G69840352250019</t>
  </si>
  <si>
    <t>G69840512260013</t>
  </si>
  <si>
    <t>G69840352250005</t>
  </si>
  <si>
    <t>G69840512260014</t>
  </si>
  <si>
    <t>G69840352250028</t>
  </si>
  <si>
    <t>G69840512260015</t>
  </si>
  <si>
    <t>G69840352250093</t>
  </si>
  <si>
    <t>G69840512260016</t>
  </si>
  <si>
    <t>G69840352250326</t>
  </si>
  <si>
    <t>G69840512260017</t>
  </si>
  <si>
    <t>G69840352250095</t>
  </si>
  <si>
    <t>G69840512260018</t>
  </si>
  <si>
    <t>G69840352250027</t>
  </si>
  <si>
    <t>G69840512260019</t>
  </si>
  <si>
    <t>G69840352250092</t>
  </si>
  <si>
    <t>G69840512260020</t>
  </si>
  <si>
    <t>G69840352250094</t>
  </si>
  <si>
    <t>G69840512260021</t>
  </si>
  <si>
    <t>G69840352250013</t>
  </si>
  <si>
    <t>G69840512260022</t>
  </si>
  <si>
    <t>G69840352250411</t>
  </si>
  <si>
    <t>G69840512260023</t>
  </si>
  <si>
    <t>G69840352250007</t>
  </si>
  <si>
    <t>G69840512260024</t>
  </si>
  <si>
    <t>G69840352250450</t>
  </si>
  <si>
    <t>G69840512260025</t>
  </si>
  <si>
    <t>G69840352250389</t>
  </si>
  <si>
    <t>G69840512260026</t>
  </si>
  <si>
    <t>G69840352250365</t>
  </si>
  <si>
    <t>G69840512260027</t>
  </si>
  <si>
    <t>G69840352250331</t>
  </si>
  <si>
    <t>G69840512260028</t>
  </si>
  <si>
    <t>G69840352250096</t>
  </si>
  <si>
    <t>G69840512260029</t>
  </si>
  <si>
    <t>G69840352250020</t>
  </si>
  <si>
    <t>G69840512260030</t>
  </si>
  <si>
    <t>G69840352250097</t>
  </si>
  <si>
    <t>G69840512260031</t>
  </si>
  <si>
    <t>G69840352250025</t>
  </si>
  <si>
    <t>G69840512260032</t>
  </si>
  <si>
    <t>G69840352250006</t>
  </si>
  <si>
    <t>G69840512260033</t>
  </si>
  <si>
    <t>G69840352250328</t>
  </si>
  <si>
    <t>G69840512260034</t>
  </si>
  <si>
    <t>G69840352250098</t>
  </si>
  <si>
    <t>G69840512260035</t>
  </si>
  <si>
    <t>G69840352250091</t>
  </si>
  <si>
    <t>G69840512260036</t>
  </si>
  <si>
    <t>G69840352250008</t>
  </si>
  <si>
    <t>G69840512260037</t>
  </si>
  <si>
    <t>G69840350250781</t>
  </si>
  <si>
    <t>G69840512260038</t>
  </si>
  <si>
    <t>G69840350250899</t>
  </si>
  <si>
    <t>G69840512260039</t>
  </si>
  <si>
    <t>G69840350250898</t>
  </si>
  <si>
    <t>G69840512260040</t>
  </si>
  <si>
    <t>G69840350250793</t>
  </si>
  <si>
    <t>G69840512260041</t>
  </si>
  <si>
    <t>G69840350250784</t>
  </si>
  <si>
    <t>G69840512260042</t>
  </si>
  <si>
    <t>G69840350250785</t>
  </si>
  <si>
    <t>G69840512260043</t>
  </si>
  <si>
    <t>G69840350250832</t>
  </si>
  <si>
    <t>G69840512260044</t>
  </si>
  <si>
    <t>G69840350250831</t>
  </si>
  <si>
    <t>G69840512260045</t>
  </si>
  <si>
    <t>G69840352250910</t>
  </si>
  <si>
    <t>G69840512260046</t>
  </si>
  <si>
    <t>G69840352250012</t>
  </si>
  <si>
    <t>G69840512260047</t>
  </si>
  <si>
    <t>G69840350250505</t>
  </si>
  <si>
    <t>G69840512260048</t>
  </si>
  <si>
    <t>G69840350250860</t>
  </si>
  <si>
    <t>G69840512260049</t>
  </si>
  <si>
    <t>G69840350250702</t>
  </si>
  <si>
    <t>G69840512260050</t>
  </si>
  <si>
    <t>G69840350250701</t>
  </si>
  <si>
    <t>G69840512260051</t>
  </si>
  <si>
    <t>G69840350250512</t>
  </si>
  <si>
    <t>G69840512260052</t>
  </si>
  <si>
    <t>G69840350250776</t>
  </si>
  <si>
    <t>G69840512260053</t>
  </si>
  <si>
    <t>G69840350250827</t>
  </si>
  <si>
    <t>G69840512260054</t>
  </si>
  <si>
    <t>G69840350250824</t>
  </si>
  <si>
    <t>G69840512260055</t>
  </si>
  <si>
    <t>G69840350250823</t>
  </si>
  <si>
    <t>G69840512260056</t>
  </si>
  <si>
    <t>G69840350250733</t>
  </si>
  <si>
    <t>G69840512260057</t>
  </si>
  <si>
    <t>G69840352250472</t>
  </si>
  <si>
    <t>G69840512260058</t>
  </si>
  <si>
    <t>G69840352251032</t>
  </si>
  <si>
    <t>G69840512260059</t>
  </si>
  <si>
    <t>G69840352250758</t>
  </si>
  <si>
    <t>G69840512260060</t>
  </si>
  <si>
    <t>G69840352250709</t>
  </si>
  <si>
    <t>G69840512260061</t>
  </si>
  <si>
    <t>G69840352250134</t>
  </si>
  <si>
    <t>G69840512260062</t>
  </si>
  <si>
    <t>G69840329250160</t>
  </si>
  <si>
    <t>G69840512260063</t>
  </si>
  <si>
    <t>G69840352251023</t>
  </si>
  <si>
    <t>G69840512260064</t>
  </si>
  <si>
    <t>G69840352251003</t>
  </si>
  <si>
    <t>G69840512260065</t>
  </si>
  <si>
    <t>G69840350250822</t>
  </si>
  <si>
    <t>G69840512260066</t>
  </si>
  <si>
    <t>G69840350250509</t>
  </si>
  <si>
    <t>G69840512260067</t>
  </si>
  <si>
    <t>G69840350250850</t>
  </si>
  <si>
    <t>G69840512260068</t>
  </si>
  <si>
    <t>G69840350250762</t>
  </si>
  <si>
    <t>G69840512260069</t>
  </si>
  <si>
    <t>G69840350250848</t>
  </si>
  <si>
    <t>G69840512260070</t>
  </si>
  <si>
    <t>G69840350250764</t>
  </si>
  <si>
    <t>G69840512260071</t>
  </si>
  <si>
    <t>G69840350250763</t>
  </si>
  <si>
    <t>G69840512260072</t>
  </si>
  <si>
    <t>G69840352250710</t>
  </si>
  <si>
    <t>G69840512260073</t>
  </si>
  <si>
    <t>G69840350250852</t>
  </si>
  <si>
    <t>G69840512260074</t>
  </si>
  <si>
    <t>G69840350250761</t>
  </si>
  <si>
    <t>G69840512260075</t>
  </si>
  <si>
    <t>G69840350250856</t>
  </si>
  <si>
    <t>G69840512260076</t>
  </si>
  <si>
    <t>G69840350250810</t>
  </si>
  <si>
    <t>G69840512260077</t>
  </si>
  <si>
    <t>G69840352250436</t>
  </si>
  <si>
    <t>G69840512260078</t>
  </si>
  <si>
    <t>G69840352250435</t>
  </si>
  <si>
    <t>G69840512260079</t>
  </si>
  <si>
    <t>G69840352250434</t>
  </si>
  <si>
    <t>G69840512260080</t>
  </si>
  <si>
    <t>G69840352250433</t>
  </si>
  <si>
    <t>G69840512260081</t>
  </si>
  <si>
    <t>G69840352250415</t>
  </si>
  <si>
    <t>G69840512260082</t>
  </si>
  <si>
    <t>G69840352250413</t>
  </si>
  <si>
    <t>G69840512260083</t>
  </si>
  <si>
    <t>G69840352250500</t>
  </si>
  <si>
    <t>G69840512260084</t>
  </si>
  <si>
    <t>G69840352250497</t>
  </si>
  <si>
    <t>G69840512260085</t>
  </si>
  <si>
    <t>G69840352250498</t>
  </si>
  <si>
    <t>G69840512260086</t>
  </si>
  <si>
    <t>G69840352250416</t>
  </si>
  <si>
    <t>G69840512260087</t>
  </si>
  <si>
    <t>G69840352250499</t>
  </si>
  <si>
    <t>G69840512260088</t>
  </si>
  <si>
    <t>G69840352250414</t>
  </si>
  <si>
    <t>G69840512260089</t>
  </si>
  <si>
    <t>G69840352250924</t>
  </si>
  <si>
    <t>G69840512260090</t>
  </si>
  <si>
    <t>G69840352250925</t>
  </si>
  <si>
    <t>G69840512260091</t>
  </si>
  <si>
    <t>G69840352250926</t>
  </si>
  <si>
    <t>G69840512260092</t>
  </si>
  <si>
    <t>G69840352250923</t>
  </si>
  <si>
    <t>G69840512260093</t>
  </si>
  <si>
    <t>G69840352250928</t>
  </si>
  <si>
    <t>G69840512260094</t>
  </si>
  <si>
    <t>G69840352250921</t>
  </si>
  <si>
    <t>G69840512260095</t>
  </si>
  <si>
    <t>G69840352250927</t>
  </si>
  <si>
    <t>G69840512260096</t>
  </si>
  <si>
    <t>G69840352250922</t>
  </si>
  <si>
    <t>G69840512260097</t>
  </si>
  <si>
    <t>G69840352250242</t>
  </si>
  <si>
    <t>G69840512260098</t>
  </si>
  <si>
    <t>G69840352250243</t>
  </si>
  <si>
    <t>G69840512260099</t>
  </si>
  <si>
    <t>G69840352250248</t>
  </si>
  <si>
    <t>G69840512260100</t>
  </si>
  <si>
    <t>G69840350250667</t>
  </si>
  <si>
    <t>G69840512260101</t>
  </si>
  <si>
    <t>G69840350250679</t>
  </si>
  <si>
    <t>G69840512260102</t>
  </si>
  <si>
    <t>G69840352250021</t>
  </si>
  <si>
    <t>G69840512260103</t>
  </si>
  <si>
    <t>G69840350250864</t>
  </si>
  <si>
    <t>G69840512260104</t>
  </si>
  <si>
    <t>G69840352250241</t>
  </si>
  <si>
    <t>G69840512260105</t>
  </si>
  <si>
    <t>G69840352250277</t>
  </si>
  <si>
    <t>G69840512260106</t>
  </si>
  <si>
    <t>G69840352250279</t>
  </si>
  <si>
    <t>G69840512260107</t>
  </si>
  <si>
    <t>G69840352250280</t>
  </si>
  <si>
    <t>G69840512260108</t>
  </si>
  <si>
    <t>G69840352250153</t>
  </si>
  <si>
    <t>G69840512260109</t>
  </si>
  <si>
    <t>G69840352250240</t>
  </si>
  <si>
    <t>G69840512260110</t>
  </si>
  <si>
    <t>G69840352250236</t>
  </si>
  <si>
    <t>G69840512260111</t>
  </si>
  <si>
    <t>G69840352250233</t>
  </si>
  <si>
    <t>G69840512260112</t>
  </si>
  <si>
    <t>G69840352250193</t>
  </si>
  <si>
    <t>G69840512260113</t>
  </si>
  <si>
    <t>G69840352250237</t>
  </si>
  <si>
    <t>G69840512260114</t>
  </si>
  <si>
    <t>G69840352250278</t>
  </si>
  <si>
    <t>G69840512260115</t>
  </si>
  <si>
    <t>G69840352250247</t>
  </si>
  <si>
    <t>G69840512260116</t>
  </si>
  <si>
    <t>G69840352250251</t>
  </si>
  <si>
    <t>G69840512260117</t>
  </si>
  <si>
    <t>G69840352250526</t>
  </si>
  <si>
    <t>G69840512260118</t>
  </si>
  <si>
    <t>G69840352250864</t>
  </si>
  <si>
    <t>G69840512260119</t>
  </si>
  <si>
    <t>G69840352250860</t>
  </si>
  <si>
    <t>G69840512260120</t>
  </si>
  <si>
    <t>G69840352250859</t>
  </si>
  <si>
    <t>G69840512260121</t>
  </si>
  <si>
    <t>G69840352250865</t>
  </si>
  <si>
    <t>G69840512260122</t>
  </si>
  <si>
    <t>G69840352251014</t>
  </si>
  <si>
    <t>G69840512260123</t>
  </si>
  <si>
    <t>G69840352250852</t>
  </si>
  <si>
    <t>G69840512260124</t>
  </si>
  <si>
    <t>G69840352250858</t>
  </si>
  <si>
    <t>G69840512260125</t>
  </si>
  <si>
    <t>G69840352250643</t>
  </si>
  <si>
    <t>G69840512260126</t>
  </si>
  <si>
    <t>G69840352250839</t>
  </si>
  <si>
    <t>G69840512260127</t>
  </si>
  <si>
    <t>G69840352250527</t>
  </si>
  <si>
    <t>G69840512260128</t>
  </si>
  <si>
    <t>G69840352250856</t>
  </si>
  <si>
    <t>G69840512260129</t>
  </si>
  <si>
    <t>G69840352250851</t>
  </si>
  <si>
    <t>G69840512260130</t>
  </si>
  <si>
    <t>G69840352250523</t>
  </si>
  <si>
    <t>G69840512260131</t>
  </si>
  <si>
    <t>G69840352250871</t>
  </si>
  <si>
    <t>G69840512260132</t>
  </si>
  <si>
    <t>G69840352250850</t>
  </si>
  <si>
    <t>G69840512260133</t>
  </si>
  <si>
    <t>G69840352250780</t>
  </si>
  <si>
    <t>G69840512260134</t>
  </si>
  <si>
    <t>G69840352250026</t>
  </si>
  <si>
    <t>G69840512260135</t>
  </si>
  <si>
    <t>G69840352250777</t>
  </si>
  <si>
    <t>G69840512260136</t>
  </si>
  <si>
    <t>G69840352250488</t>
  </si>
  <si>
    <t>G69840512260137</t>
  </si>
  <si>
    <t>G69840352250479</t>
  </si>
  <si>
    <t>G69840512260138</t>
  </si>
  <si>
    <t>G69840352250487</t>
  </si>
  <si>
    <t>G69840512260139</t>
  </si>
  <si>
    <t>G69840352250460</t>
  </si>
  <si>
    <t>G69840512260140</t>
  </si>
  <si>
    <t>G69840352250132</t>
  </si>
  <si>
    <t>G69840512260141</t>
  </si>
  <si>
    <t>G69840352250476</t>
  </si>
  <si>
    <t>G69840512260142</t>
  </si>
  <si>
    <t>G69840350250739</t>
  </si>
  <si>
    <t>G69840512260143</t>
  </si>
  <si>
    <t>G69840350250886</t>
  </si>
  <si>
    <t>G69840512260144</t>
  </si>
  <si>
    <t>G69840350250887</t>
  </si>
  <si>
    <t>G69840512260145</t>
  </si>
  <si>
    <t>G69840350250885</t>
  </si>
  <si>
    <t>G69840512260146</t>
  </si>
  <si>
    <t>G69840350250737</t>
  </si>
  <si>
    <t>G69840512260147</t>
  </si>
  <si>
    <t>G69840352250690</t>
  </si>
  <si>
    <t>G69840512260148</t>
  </si>
  <si>
    <t>G69840352251008</t>
  </si>
  <si>
    <t>G69840512260149</t>
  </si>
  <si>
    <t>G69840350250650</t>
  </si>
  <si>
    <t>G69840512260150</t>
  </si>
  <si>
    <t>G69840352250456</t>
  </si>
  <si>
    <t>G69840512260151</t>
  </si>
  <si>
    <t>G69840352250447</t>
  </si>
  <si>
    <t>G69840512260152</t>
  </si>
  <si>
    <t>G69840352250216</t>
  </si>
  <si>
    <t>G69840512260153</t>
  </si>
  <si>
    <t>G69840350250647</t>
  </si>
  <si>
    <t>G69840512260154</t>
  </si>
  <si>
    <t>G69840352251006</t>
  </si>
  <si>
    <t>G69840512260155</t>
  </si>
  <si>
    <t>G69840352250687</t>
  </si>
  <si>
    <t>G69840512260156</t>
  </si>
  <si>
    <t>G69840352250686</t>
  </si>
  <si>
    <t>G69840512260157</t>
  </si>
  <si>
    <t>G69840352250689</t>
  </si>
  <si>
    <t>G69840512260158</t>
  </si>
  <si>
    <t>G69840352250677</t>
  </si>
  <si>
    <t>G69840512260159</t>
  </si>
  <si>
    <t>G69840352250681</t>
  </si>
  <si>
    <t>G69840512260160</t>
  </si>
  <si>
    <t>G69840352250878</t>
  </si>
  <si>
    <t>G69840512260161</t>
  </si>
  <si>
    <t>G69840350250656</t>
  </si>
  <si>
    <t>G69840512260162</t>
  </si>
  <si>
    <t>G69840352250985</t>
  </si>
  <si>
    <t>G69840512260163</t>
  </si>
  <si>
    <t>G69840352250835</t>
  </si>
  <si>
    <t>G69840512260164</t>
  </si>
  <si>
    <t>G69840352250971</t>
  </si>
  <si>
    <t>G69840512260165</t>
  </si>
  <si>
    <t>G69840352250834</t>
  </si>
  <si>
    <t>G69840512260166</t>
  </si>
  <si>
    <t>G69840352250644</t>
  </si>
  <si>
    <t>G69840512260167</t>
  </si>
  <si>
    <t>G69840352250987</t>
  </si>
  <si>
    <t>G69840512260168</t>
  </si>
  <si>
    <t>G69840352250810</t>
  </si>
  <si>
    <t>G69840512260169</t>
  </si>
  <si>
    <t>G69840352250966</t>
  </si>
  <si>
    <t>G69840512260170</t>
  </si>
  <si>
    <t>G69840352250802</t>
  </si>
  <si>
    <t>G69840512260171</t>
  </si>
  <si>
    <t>G69840352250837</t>
  </si>
  <si>
    <t>G69840512260172</t>
  </si>
  <si>
    <t>G69840352250981</t>
  </si>
  <si>
    <t>G69840512260173</t>
  </si>
  <si>
    <t>G69840352250973</t>
  </si>
  <si>
    <t>G69840512260174</t>
  </si>
  <si>
    <t>G69840352250968</t>
  </si>
  <si>
    <t>G69840512260175</t>
  </si>
  <si>
    <t>G69840352250838</t>
  </si>
  <si>
    <t>G69840512260176</t>
  </si>
  <si>
    <t>G69840352250975</t>
  </si>
  <si>
    <t>G69840512260177</t>
  </si>
  <si>
    <t>G69840352250803</t>
  </si>
  <si>
    <t>G69840512260178</t>
  </si>
  <si>
    <t>G69840352250801</t>
  </si>
  <si>
    <t>G69840512260179</t>
  </si>
  <si>
    <t>G69840352250969</t>
  </si>
  <si>
    <t>G69840512260180</t>
  </si>
  <si>
    <t>G69840352250983</t>
  </si>
  <si>
    <t>G69840512260181</t>
  </si>
  <si>
    <t>G69840352250674</t>
  </si>
  <si>
    <t>G69840512260182</t>
  </si>
  <si>
    <t>G69840350250801</t>
  </si>
  <si>
    <t>G69840512260183</t>
  </si>
  <si>
    <t>G69840350250853</t>
  </si>
  <si>
    <t>G69840512260184</t>
  </si>
  <si>
    <t>G69840350250845</t>
  </si>
  <si>
    <t>G69840512260185</t>
  </si>
  <si>
    <t>G69840350250802</t>
  </si>
  <si>
    <t>G69840512260186</t>
  </si>
  <si>
    <t>G69840350250715</t>
  </si>
  <si>
    <t>G69840512260187</t>
  </si>
  <si>
    <t>G69840350250520</t>
  </si>
  <si>
    <t>G69840512260188</t>
  </si>
  <si>
    <t>G69840350250519</t>
  </si>
  <si>
    <t>G69840512260189</t>
  </si>
  <si>
    <t>G69840350250851</t>
  </si>
  <si>
    <t>G69840512260190</t>
  </si>
  <si>
    <t>G69840350250812</t>
  </si>
  <si>
    <t>G69840512260191</t>
  </si>
  <si>
    <t>G69840350250857</t>
  </si>
  <si>
    <t>G69840512260192</t>
  </si>
  <si>
    <t>G69840350250811</t>
  </si>
  <si>
    <t>G69840512260193</t>
  </si>
  <si>
    <t>G69840350250714</t>
  </si>
  <si>
    <t>G69840512260194</t>
  </si>
  <si>
    <t>G69840350250713</t>
  </si>
  <si>
    <t>G69840512260195</t>
  </si>
  <si>
    <t>G69840350250803</t>
  </si>
  <si>
    <t>G69840512260196</t>
  </si>
  <si>
    <t>G69840350250846</t>
  </si>
  <si>
    <t>G69840512260197</t>
  </si>
  <si>
    <t>G69840350250842</t>
  </si>
  <si>
    <t>G69840512260198</t>
  </si>
  <si>
    <t>G69840350250804</t>
  </si>
  <si>
    <t>G69840512260199</t>
  </si>
  <si>
    <t>G69840352250470</t>
  </si>
  <si>
    <t>G69840512260200</t>
  </si>
  <si>
    <t>G69840350250859</t>
  </si>
  <si>
    <t>G69840512260201</t>
  </si>
  <si>
    <t>G69840352250713</t>
  </si>
  <si>
    <t>G69840512260202</t>
  </si>
  <si>
    <t>G69840352250163</t>
  </si>
  <si>
    <t>G69840512260203</t>
  </si>
  <si>
    <t>G69840352250232</t>
  </si>
  <si>
    <t>G69840512260204</t>
  </si>
  <si>
    <t>G69840352250164</t>
  </si>
  <si>
    <t>G69840512260205</t>
  </si>
  <si>
    <t>G69840352250198</t>
  </si>
  <si>
    <t>G69840512260206</t>
  </si>
  <si>
    <t>G69840352250229</t>
  </si>
  <si>
    <t>G69840512260207</t>
  </si>
  <si>
    <t>G69840352250101</t>
  </si>
  <si>
    <t>G69840512260208</t>
  </si>
  <si>
    <t>G69840352250104</t>
  </si>
  <si>
    <t>G69840512260209</t>
  </si>
  <si>
    <t>G69840352250161</t>
  </si>
  <si>
    <t>G69840512260210</t>
  </si>
  <si>
    <t>G69840352250165</t>
  </si>
  <si>
    <t>G69840512260211</t>
  </si>
  <si>
    <t>G69840352250162</t>
  </si>
  <si>
    <t>G69840512260212</t>
  </si>
  <si>
    <t>G69840352250102</t>
  </si>
  <si>
    <t>G69840512260213</t>
  </si>
  <si>
    <t>G69840352250103</t>
  </si>
  <si>
    <t>G69840512260214</t>
  </si>
  <si>
    <t>G69840350250274</t>
  </si>
  <si>
    <t>G69840512260215</t>
  </si>
  <si>
    <t>G69840350250273</t>
  </si>
  <si>
    <t>G69840512260216</t>
  </si>
  <si>
    <t>G69840350250241</t>
  </si>
  <si>
    <t>G69840512260217</t>
  </si>
  <si>
    <t>G69840350250967</t>
  </si>
  <si>
    <t>G69840512260218</t>
  </si>
  <si>
    <t>G69840350250965</t>
  </si>
  <si>
    <t>G69840512260219</t>
  </si>
  <si>
    <t>G69840350250966</t>
  </si>
  <si>
    <t>G69840512260220</t>
  </si>
  <si>
    <t>G69840350250678</t>
  </si>
  <si>
    <t>G69840512260221</t>
  </si>
  <si>
    <t>G69840350250680</t>
  </si>
  <si>
    <t>G69840512260222</t>
  </si>
  <si>
    <t>G69840350250609</t>
  </si>
  <si>
    <t>G69840512260223</t>
  </si>
  <si>
    <t>G69840350250661</t>
  </si>
  <si>
    <t>G69840512260224</t>
  </si>
  <si>
    <t>G69840350250668</t>
  </si>
  <si>
    <t>G69840512260225</t>
  </si>
  <si>
    <t>G69840350250612</t>
  </si>
  <si>
    <t>G69840512260226</t>
  </si>
  <si>
    <t>G69840350250663</t>
  </si>
  <si>
    <t>G69840512260227</t>
  </si>
  <si>
    <t>G69840350250610</t>
  </si>
  <si>
    <t>G69840512260228</t>
  </si>
  <si>
    <t>G69840350250662</t>
  </si>
  <si>
    <t>G69840512260229</t>
  </si>
  <si>
    <t>G69840350250615</t>
  </si>
  <si>
    <t>G69840512260230</t>
  </si>
  <si>
    <t>G69840350250664</t>
  </si>
  <si>
    <t>G69840512260231</t>
  </si>
  <si>
    <t>G69840350250665</t>
  </si>
  <si>
    <t>G69840512260232</t>
  </si>
  <si>
    <t>G69840352251009</t>
  </si>
  <si>
    <t>G69840512260233</t>
  </si>
  <si>
    <t>G69840352250684</t>
  </si>
  <si>
    <t>G69840512260234</t>
  </si>
  <si>
    <t>G69840352250691</t>
  </si>
  <si>
    <t>G69840512260235</t>
  </si>
  <si>
    <t>G69840352250877</t>
  </si>
  <si>
    <t>G69840512260236</t>
  </si>
  <si>
    <t>G69840352251012</t>
  </si>
  <si>
    <t>G69840512260237</t>
  </si>
  <si>
    <t>G69840352251007</t>
  </si>
  <si>
    <t>G69840512260238</t>
  </si>
  <si>
    <t>G69840350250643</t>
  </si>
  <si>
    <t>G69840512260239</t>
  </si>
  <si>
    <t>G69840352250692</t>
  </si>
  <si>
    <t>G69840512260240</t>
  </si>
  <si>
    <t>G69840352250815</t>
  </si>
  <si>
    <t>G69840512260241</t>
  </si>
  <si>
    <t>G69840352250809</t>
  </si>
  <si>
    <t>G69840512260242</t>
  </si>
  <si>
    <t>G69840352250115</t>
  </si>
  <si>
    <t>G69840512260243</t>
  </si>
  <si>
    <t>G69840352250997</t>
  </si>
  <si>
    <t>G69840512260244</t>
  </si>
  <si>
    <t>G69840352250988</t>
  </si>
  <si>
    <t>G69840512260245</t>
  </si>
  <si>
    <t>G69840352250967</t>
  </si>
  <si>
    <t>G69840512260246</t>
  </si>
  <si>
    <t>G69840352250840</t>
  </si>
  <si>
    <t>G69840512260247</t>
  </si>
  <si>
    <t>G69840352250986</t>
  </si>
  <si>
    <t>G69840512260248</t>
  </si>
  <si>
    <t>G69840352250846</t>
  </si>
  <si>
    <t>G69840512260249</t>
  </si>
  <si>
    <t>G69840352250965</t>
  </si>
  <si>
    <t>G69840512260250</t>
  </si>
  <si>
    <t>G69840352250845</t>
  </si>
  <si>
    <t>G69840512260251</t>
  </si>
  <si>
    <t>G69840352250998</t>
  </si>
  <si>
    <t>G69840512260252</t>
  </si>
  <si>
    <t>G69840352250587</t>
  </si>
  <si>
    <t>G69840512260253</t>
  </si>
  <si>
    <t>G69840352250600</t>
  </si>
  <si>
    <t>G69840512260254</t>
  </si>
  <si>
    <t>G69840352250596</t>
  </si>
  <si>
    <t>G69840512260255</t>
  </si>
  <si>
    <t>G69840352250598</t>
  </si>
  <si>
    <t>G69840512260256</t>
  </si>
  <si>
    <t>G69840352250597</t>
  </si>
  <si>
    <t>G69840512260257</t>
  </si>
  <si>
    <t>G69840352251020</t>
  </si>
  <si>
    <t>G69840512260258</t>
  </si>
  <si>
    <t>G69840352250595</t>
  </si>
  <si>
    <t>G69840512260259</t>
  </si>
  <si>
    <t>G69840352250572</t>
  </si>
  <si>
    <t>G69840512260260</t>
  </si>
  <si>
    <t>G69840352250570</t>
  </si>
  <si>
    <t>G69840512260261</t>
  </si>
  <si>
    <t>G69840352250618</t>
  </si>
  <si>
    <t>G69840512260262</t>
  </si>
  <si>
    <t>G69840352250463</t>
  </si>
  <si>
    <t>G69840512260263</t>
  </si>
  <si>
    <t>G69840352250419</t>
  </si>
  <si>
    <t>G69840512260264</t>
  </si>
  <si>
    <t>G69840352250467</t>
  </si>
  <si>
    <t>G69840512260265</t>
  </si>
  <si>
    <t>G69840352250417</t>
  </si>
  <si>
    <t>G69840512260266</t>
  </si>
  <si>
    <t>G69840352250494</t>
  </si>
  <si>
    <t>G69840512260267</t>
  </si>
  <si>
    <t>G69840352250496</t>
  </si>
  <si>
    <t>G69840512260268</t>
  </si>
  <si>
    <t>G69840352250465</t>
  </si>
  <si>
    <t>G69840512260269</t>
  </si>
  <si>
    <t>G69840352250462</t>
  </si>
  <si>
    <t>G69840512260270</t>
  </si>
  <si>
    <t>G69840352250495</t>
  </si>
  <si>
    <t>G69840512260271</t>
  </si>
  <si>
    <t>G69840352250594</t>
  </si>
  <si>
    <t>G69840512260272</t>
  </si>
  <si>
    <t>G69840352250059</t>
  </si>
  <si>
    <t>G69840512260273</t>
  </si>
  <si>
    <t>G69840352250054</t>
  </si>
  <si>
    <t>G69840512260274</t>
  </si>
  <si>
    <t>G69840352250394</t>
  </si>
  <si>
    <t>G69840512260275</t>
  </si>
  <si>
    <t>G69840352250010</t>
  </si>
  <si>
    <t>G69840512260276</t>
  </si>
  <si>
    <t>G69840352250060</t>
  </si>
  <si>
    <t>G69840512260277</t>
  </si>
  <si>
    <t>G69840352250379</t>
  </si>
  <si>
    <t>G69840512260278</t>
  </si>
  <si>
    <t>G69840352250003</t>
  </si>
  <si>
    <t>G69840512260279</t>
  </si>
  <si>
    <t>G69840352250053</t>
  </si>
  <si>
    <t>G69840512260280</t>
  </si>
  <si>
    <t>G69840352250015</t>
  </si>
  <si>
    <t>G69840512260281</t>
  </si>
  <si>
    <t>G69840352250377</t>
  </si>
  <si>
    <t>G69840512260282</t>
  </si>
  <si>
    <t>G69840352250307</t>
  </si>
  <si>
    <t>G69840512260283</t>
  </si>
  <si>
    <t>G69840352250189</t>
  </si>
  <si>
    <t>G69840512260284</t>
  </si>
  <si>
    <t>G69840352250049</t>
  </si>
  <si>
    <t>G69840512260285</t>
  </si>
  <si>
    <t>G69840352250393</t>
  </si>
  <si>
    <t>G69840512260286</t>
  </si>
  <si>
    <t>G69840352250395</t>
  </si>
  <si>
    <t>G69840512260287</t>
  </si>
  <si>
    <t>G69840352250011</t>
  </si>
  <si>
    <t>G69840512260288</t>
  </si>
  <si>
    <t>G69840352250380</t>
  </si>
  <si>
    <t>G69840512260289</t>
  </si>
  <si>
    <t>G69840352250090</t>
  </si>
  <si>
    <t>G69840512260290</t>
  </si>
  <si>
    <t>G69840352250378</t>
  </si>
  <si>
    <t>G69840512260291</t>
  </si>
  <si>
    <t>G69840352250016</t>
  </si>
  <si>
    <t>G69840512260292</t>
  </si>
  <si>
    <t>G69840352250190</t>
  </si>
  <si>
    <t>G69840512260293</t>
  </si>
  <si>
    <t>G69840352250014</t>
  </si>
  <si>
    <t>G69840512260294</t>
  </si>
  <si>
    <t>G69840352250306</t>
  </si>
  <si>
    <t>G69840512260295</t>
  </si>
  <si>
    <t>G69840352250055</t>
  </si>
  <si>
    <t>G69840512260296</t>
  </si>
  <si>
    <t>G69840352250451</t>
  </si>
  <si>
    <t>G69840512260297</t>
  </si>
  <si>
    <t>G69840352250396</t>
  </si>
  <si>
    <t>G69840512260298</t>
  </si>
  <si>
    <t>G69840352250050</t>
  </si>
  <si>
    <t>G69840512260299</t>
  </si>
  <si>
    <t>G69840350250796</t>
  </si>
  <si>
    <t>G69840512260300</t>
  </si>
  <si>
    <t>G69840350250720</t>
  </si>
  <si>
    <t>G69840512260301</t>
  </si>
  <si>
    <t>G69840352250058</t>
  </si>
  <si>
    <t>G69840512260302</t>
  </si>
  <si>
    <t>G69840352250492</t>
  </si>
  <si>
    <t>G69840512260303</t>
  </si>
  <si>
    <t>G69840352250491</t>
  </si>
  <si>
    <t>G69840512260304</t>
  </si>
  <si>
    <t>G69840350250527</t>
  </si>
  <si>
    <t>G69840512260305</t>
  </si>
  <si>
    <t>G69840352250174</t>
  </si>
  <si>
    <t>G69840512260306</t>
  </si>
  <si>
    <t>G69840352250490</t>
  </si>
  <si>
    <t>G69840512260307</t>
  </si>
  <si>
    <t>G69840352250175</t>
  </si>
  <si>
    <t>G69840512260308</t>
  </si>
  <si>
    <t>G69840352250489</t>
  </si>
  <si>
    <t>G69840512260309</t>
  </si>
  <si>
    <t>G69840352250620</t>
  </si>
  <si>
    <t>G69840512260310</t>
  </si>
  <si>
    <t>G69840352250176</t>
  </si>
  <si>
    <t>G69840512260311</t>
  </si>
  <si>
    <t>G69840350250524</t>
  </si>
  <si>
    <t>G69840512260312</t>
  </si>
  <si>
    <t>G69840350250521</t>
  </si>
  <si>
    <t>G69840512260313</t>
  </si>
  <si>
    <t>G69840350250531</t>
  </si>
  <si>
    <t>G69840512260314</t>
  </si>
  <si>
    <t>G69840350250523</t>
  </si>
  <si>
    <t>G69840512260315</t>
  </si>
  <si>
    <t>G69840350250529</t>
  </si>
  <si>
    <t>G69840512260316</t>
  </si>
  <si>
    <t>G69840350250526</t>
  </si>
  <si>
    <t>G69840512260317</t>
  </si>
  <si>
    <t>G69840350250530</t>
  </si>
  <si>
    <t>G69840512260318</t>
  </si>
  <si>
    <t>G69840350250532</t>
  </si>
  <si>
    <t>G69840512260319</t>
  </si>
  <si>
    <t>G69840350250525</t>
  </si>
  <si>
    <t>G69840512260320</t>
  </si>
  <si>
    <t>G69840352250582</t>
  </si>
  <si>
    <t>G69840512260321</t>
  </si>
  <si>
    <t>G69840352250423</t>
  </si>
  <si>
    <t>G69840512260322</t>
  </si>
  <si>
    <t>G69840352250418</t>
  </si>
  <si>
    <t>G69840512260323</t>
  </si>
  <si>
    <t>G69840352250173</t>
  </si>
  <si>
    <t>G69840512260324</t>
  </si>
  <si>
    <t>G69840352250579</t>
  </si>
  <si>
    <t>G69840512260325</t>
  </si>
  <si>
    <t>G69840352250569</t>
  </si>
  <si>
    <t>G69840512260326</t>
  </si>
  <si>
    <t>G69840352250461</t>
  </si>
  <si>
    <t>G69840512260327</t>
  </si>
  <si>
    <t>G69840352250464</t>
  </si>
  <si>
    <t>G69840512260328</t>
  </si>
  <si>
    <t>G69840352250424</t>
  </si>
  <si>
    <t>G69840512260329</t>
  </si>
  <si>
    <t>G69840352250256</t>
  </si>
  <si>
    <t>G69840512260330</t>
  </si>
  <si>
    <t>G69840352250420</t>
  </si>
  <si>
    <t>G69840512260331</t>
  </si>
  <si>
    <t>G69840352250468</t>
  </si>
  <si>
    <t>G69840512260332</t>
  </si>
  <si>
    <t>G69840352250031</t>
  </si>
  <si>
    <t>G69840512260333</t>
  </si>
  <si>
    <t>G69840352250253</t>
  </si>
  <si>
    <t>G69840512260334</t>
  </si>
  <si>
    <t>G69840352250030</t>
  </si>
  <si>
    <t>G69840512260335</t>
  </si>
  <si>
    <t>G69840352250360</t>
  </si>
  <si>
    <t>G69840512260336</t>
  </si>
  <si>
    <t>G69840350250528</t>
  </si>
  <si>
    <t>G69840512260337</t>
  </si>
  <si>
    <t>G69840350250522</t>
  </si>
  <si>
    <t>G69840512260338</t>
  </si>
  <si>
    <t>G69840352250044</t>
  </si>
  <si>
    <t>G69840512260339</t>
  </si>
  <si>
    <t>G69840352250357</t>
  </si>
  <si>
    <t>G69840512260340</t>
  </si>
  <si>
    <t>G69840352250407</t>
  </si>
  <si>
    <t>G69840512260341</t>
  </si>
  <si>
    <t>G69840352250009</t>
  </si>
  <si>
    <t>G69840512260342</t>
  </si>
  <si>
    <t>G69840352250029</t>
  </si>
  <si>
    <t>G69840512260343</t>
  </si>
  <si>
    <t>G69840352250254</t>
  </si>
  <si>
    <t>G69840512260344</t>
  </si>
  <si>
    <t>G69840352250255</t>
  </si>
  <si>
    <t>G69840512260345</t>
  </si>
  <si>
    <t>G69840352250421</t>
  </si>
  <si>
    <t>G69840512260346</t>
  </si>
  <si>
    <t>G69840352250359</t>
  </si>
  <si>
    <t>G69840512260347</t>
  </si>
  <si>
    <t>G69840352250032</t>
  </si>
  <si>
    <t>G69840512260348</t>
  </si>
  <si>
    <t>G69840352250422</t>
  </si>
  <si>
    <t>G69840512260349</t>
  </si>
  <si>
    <t>G69840352250602</t>
  </si>
  <si>
    <t>G69840512260350</t>
  </si>
  <si>
    <t>G69840352250934</t>
  </si>
  <si>
    <t>G69840512260351</t>
  </si>
  <si>
    <t>G69840352250601</t>
  </si>
  <si>
    <t>G69840512260352</t>
  </si>
  <si>
    <t>G69840352250933</t>
  </si>
  <si>
    <t>G69840512260353</t>
  </si>
  <si>
    <t>G69840352250936</t>
  </si>
  <si>
    <t>G69840512260354</t>
  </si>
  <si>
    <t>G69840352250358</t>
  </si>
  <si>
    <t>G69840512260355</t>
  </si>
  <si>
    <t>G69840352250935</t>
  </si>
  <si>
    <t>G69840512260356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</si>
</sst>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987F-9527-42A5-842E-3536639656B9}">
  <dimension ref="A1:A20"/>
  <sheetViews>
    <sheetView tabSelected="1" workbookViewId="0">
      <selection activeCell="D6" sqref="D6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1</v>
      </c>
    </row>
    <row r="2" spans="1:1" x14ac:dyDescent="0.25">
      <c r="A2" t="s">
        <v>38</v>
      </c>
    </row>
    <row r="3" spans="1:1" x14ac:dyDescent="0.25">
      <c r="A3" t="s">
        <v>40</v>
      </c>
    </row>
    <row r="4" spans="1:1" x14ac:dyDescent="0.25">
      <c r="A4" t="s">
        <v>42</v>
      </c>
    </row>
    <row r="5" spans="1:1" x14ac:dyDescent="0.25">
      <c r="A5" t="s">
        <v>44</v>
      </c>
    </row>
    <row r="6" spans="1:1" x14ac:dyDescent="0.25">
      <c r="A6" t="s">
        <v>46</v>
      </c>
    </row>
    <row r="7" spans="1:1" x14ac:dyDescent="0.25">
      <c r="A7" t="s">
        <v>48</v>
      </c>
    </row>
    <row r="8" spans="1:1" x14ac:dyDescent="0.25">
      <c r="A8" t="s">
        <v>50</v>
      </c>
    </row>
    <row r="9" spans="1:1" x14ac:dyDescent="0.25">
      <c r="A9" t="s">
        <v>52</v>
      </c>
    </row>
    <row r="10" spans="1:1" x14ac:dyDescent="0.25">
      <c r="A10" t="s">
        <v>54</v>
      </c>
    </row>
    <row r="11" spans="1:1" x14ac:dyDescent="0.25">
      <c r="A11" t="s">
        <v>56</v>
      </c>
    </row>
    <row r="12" spans="1:1" x14ac:dyDescent="0.25">
      <c r="A12" t="s">
        <v>58</v>
      </c>
    </row>
    <row r="13" spans="1:1" x14ac:dyDescent="0.25">
      <c r="A13" t="s">
        <v>60</v>
      </c>
    </row>
    <row r="14" spans="1:1" x14ac:dyDescent="0.25">
      <c r="A14" t="s">
        <v>62</v>
      </c>
    </row>
    <row r="15" spans="1:1" x14ac:dyDescent="0.25">
      <c r="A15" t="s">
        <v>64</v>
      </c>
    </row>
    <row r="16" spans="1:1" x14ac:dyDescent="0.25">
      <c r="A16" t="s">
        <v>66</v>
      </c>
    </row>
    <row r="17" spans="1:1" x14ac:dyDescent="0.25">
      <c r="A17" t="s">
        <v>68</v>
      </c>
    </row>
    <row r="18" spans="1:1" x14ac:dyDescent="0.25">
      <c r="A18" t="s">
        <v>70</v>
      </c>
    </row>
    <row r="19" spans="1:1" x14ac:dyDescent="0.25">
      <c r="A19" t="s">
        <v>72</v>
      </c>
    </row>
    <row r="20" spans="1:1" x14ac:dyDescent="0.25">
      <c r="A2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3E1C-FBA5-45AE-A96B-B00FB62BFD95}">
  <dimension ref="A1:H27"/>
  <sheetViews>
    <sheetView workbookViewId="0">
      <selection activeCell="H13" sqref="H13"/>
    </sheetView>
  </sheetViews>
  <sheetFormatPr defaultRowHeight="15" x14ac:dyDescent="0.25"/>
  <cols>
    <col min="1" max="1" width="8.140625" bestFit="1" customWidth="1"/>
    <col min="2" max="2" width="40" bestFit="1" customWidth="1"/>
    <col min="3" max="3" width="18.5703125" bestFit="1" customWidth="1"/>
    <col min="4" max="4" width="6.42578125" bestFit="1" customWidth="1"/>
    <col min="5" max="5" width="8.5703125" bestFit="1" customWidth="1"/>
    <col min="6" max="6" width="7.140625" bestFit="1" customWidth="1"/>
    <col min="7" max="7" width="22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tr">
        <f>IF(TRIM(B2)="","", "I7")</f>
        <v>I7</v>
      </c>
      <c r="B2" t="s">
        <v>8</v>
      </c>
      <c r="C2" t="str">
        <f t="shared" ref="C2:C27" si="0">IF(TRIM(B2)="","", "PARTS APPEARANCE")</f>
        <v>PARTS APPEARANCE</v>
      </c>
      <c r="D2" t="str">
        <f t="shared" ref="D2:D27" si="1">IF(TRIM(B2)="","", "SPU")</f>
        <v>SPU</v>
      </c>
      <c r="E2" t="str">
        <f>IF(TRIM(B2)="","", "R46,R49")</f>
        <v>R46,R49</v>
      </c>
      <c r="F2" t="s">
        <v>9</v>
      </c>
      <c r="G2" t="str">
        <f>IF(TRIM(B2)="","", "2026-04-29 01:30:00.000")</f>
        <v>2026-04-29 01:30:00.000</v>
      </c>
      <c r="H2" t="str">
        <f t="shared" ref="H2:H27" si="2">IF(TRIM(B2)="","", "1")</f>
        <v>1</v>
      </c>
    </row>
    <row r="3" spans="1:8" x14ac:dyDescent="0.25">
      <c r="A3" t="str">
        <f>IF(TRIM(B3)="","", "I7")</f>
        <v>I7</v>
      </c>
      <c r="B3" t="s">
        <v>10</v>
      </c>
      <c r="C3" t="str">
        <f t="shared" si="0"/>
        <v>PARTS APPEARANCE</v>
      </c>
      <c r="D3" t="str">
        <f t="shared" si="1"/>
        <v>SPU</v>
      </c>
      <c r="E3" t="str">
        <f>IF(TRIM(B3)="","", "R46,R49")</f>
        <v>R46,R49</v>
      </c>
      <c r="F3" t="s">
        <v>9</v>
      </c>
      <c r="G3" t="str">
        <f>IF(TRIM(B3)="","", "2026-04-29 01:30:00.000")</f>
        <v>2026-04-29 01:30:00.000</v>
      </c>
      <c r="H3" t="str">
        <f t="shared" si="2"/>
        <v>1</v>
      </c>
    </row>
    <row r="4" spans="1:8" x14ac:dyDescent="0.25">
      <c r="A4" t="str">
        <f t="shared" ref="A4:A27" si="3">IF(TRIM(B4)="","", "I7")</f>
        <v>I7</v>
      </c>
      <c r="B4" t="s">
        <v>11</v>
      </c>
      <c r="C4" t="str">
        <f t="shared" si="0"/>
        <v>PARTS APPEARANCE</v>
      </c>
      <c r="D4" t="str">
        <f t="shared" si="1"/>
        <v>SPU</v>
      </c>
      <c r="E4" t="str">
        <f t="shared" ref="E4:E27" si="4">IF(TRIM(B4)="","", "R46,R49")</f>
        <v>R46,R49</v>
      </c>
      <c r="F4" t="s">
        <v>9</v>
      </c>
      <c r="G4" t="str">
        <f t="shared" ref="G4:G27" si="5">IF(TRIM(B4)="","", "2026-04-29 01:30:00.000")</f>
        <v>2026-04-29 01:30:00.000</v>
      </c>
      <c r="H4" t="str">
        <f t="shared" si="2"/>
        <v>1</v>
      </c>
    </row>
    <row r="5" spans="1:8" x14ac:dyDescent="0.25">
      <c r="A5" t="str">
        <f t="shared" si="3"/>
        <v>I7</v>
      </c>
      <c r="B5" t="s">
        <v>12</v>
      </c>
      <c r="C5" t="str">
        <f t="shared" si="0"/>
        <v>PARTS APPEARANCE</v>
      </c>
      <c r="D5" t="str">
        <f t="shared" si="1"/>
        <v>SPU</v>
      </c>
      <c r="E5" t="str">
        <f t="shared" si="4"/>
        <v>R46,R49</v>
      </c>
      <c r="F5" t="s">
        <v>9</v>
      </c>
      <c r="G5" t="str">
        <f t="shared" si="5"/>
        <v>2026-04-29 01:30:00.000</v>
      </c>
      <c r="H5" t="str">
        <f t="shared" si="2"/>
        <v>1</v>
      </c>
    </row>
    <row r="6" spans="1:8" x14ac:dyDescent="0.25">
      <c r="A6" t="str">
        <f t="shared" si="3"/>
        <v>I7</v>
      </c>
      <c r="B6" t="s">
        <v>13</v>
      </c>
      <c r="C6" t="str">
        <f t="shared" si="0"/>
        <v>PARTS APPEARANCE</v>
      </c>
      <c r="D6" t="str">
        <f t="shared" si="1"/>
        <v>SPU</v>
      </c>
      <c r="E6" t="str">
        <f t="shared" si="4"/>
        <v>R46,R49</v>
      </c>
      <c r="F6" t="s">
        <v>9</v>
      </c>
      <c r="G6" t="str">
        <f t="shared" si="5"/>
        <v>2026-04-29 01:30:00.000</v>
      </c>
      <c r="H6" t="str">
        <f t="shared" si="2"/>
        <v>1</v>
      </c>
    </row>
    <row r="7" spans="1:8" x14ac:dyDescent="0.25">
      <c r="A7" t="str">
        <f t="shared" si="3"/>
        <v>I7</v>
      </c>
      <c r="B7" t="s">
        <v>14</v>
      </c>
      <c r="C7" t="str">
        <f t="shared" si="0"/>
        <v>PARTS APPEARANCE</v>
      </c>
      <c r="D7" t="str">
        <f t="shared" si="1"/>
        <v>SPU</v>
      </c>
      <c r="E7" t="str">
        <f t="shared" si="4"/>
        <v>R46,R49</v>
      </c>
      <c r="F7" t="s">
        <v>9</v>
      </c>
      <c r="G7" t="str">
        <f t="shared" si="5"/>
        <v>2026-04-29 01:30:00.000</v>
      </c>
      <c r="H7" t="str">
        <f t="shared" si="2"/>
        <v>1</v>
      </c>
    </row>
    <row r="8" spans="1:8" x14ac:dyDescent="0.25">
      <c r="A8" t="str">
        <f t="shared" si="3"/>
        <v>I7</v>
      </c>
      <c r="B8" t="s">
        <v>15</v>
      </c>
      <c r="C8" t="str">
        <f t="shared" si="0"/>
        <v>PARTS APPEARANCE</v>
      </c>
      <c r="D8" t="str">
        <f t="shared" si="1"/>
        <v>SPU</v>
      </c>
      <c r="E8" t="str">
        <f t="shared" si="4"/>
        <v>R46,R49</v>
      </c>
      <c r="F8" t="s">
        <v>9</v>
      </c>
      <c r="G8" t="str">
        <f t="shared" si="5"/>
        <v>2026-04-29 01:30:00.000</v>
      </c>
      <c r="H8" t="str">
        <f t="shared" si="2"/>
        <v>1</v>
      </c>
    </row>
    <row r="9" spans="1:8" x14ac:dyDescent="0.25">
      <c r="A9" t="str">
        <f t="shared" si="3"/>
        <v>I7</v>
      </c>
      <c r="B9" t="s">
        <v>16</v>
      </c>
      <c r="C9" t="str">
        <f t="shared" si="0"/>
        <v>PARTS APPEARANCE</v>
      </c>
      <c r="D9" t="str">
        <f t="shared" si="1"/>
        <v>SPU</v>
      </c>
      <c r="E9" t="str">
        <f t="shared" si="4"/>
        <v>R46,R49</v>
      </c>
      <c r="F9" t="s">
        <v>9</v>
      </c>
      <c r="G9" t="str">
        <f t="shared" si="5"/>
        <v>2026-04-29 01:30:00.000</v>
      </c>
      <c r="H9" t="str">
        <f t="shared" si="2"/>
        <v>1</v>
      </c>
    </row>
    <row r="10" spans="1:8" x14ac:dyDescent="0.25">
      <c r="A10" t="str">
        <f t="shared" si="3"/>
        <v>I7</v>
      </c>
      <c r="B10" t="s">
        <v>17</v>
      </c>
      <c r="C10" t="str">
        <f t="shared" si="0"/>
        <v>PARTS APPEARANCE</v>
      </c>
      <c r="D10" t="str">
        <f t="shared" si="1"/>
        <v>SPU</v>
      </c>
      <c r="E10" t="str">
        <f t="shared" si="4"/>
        <v>R46,R49</v>
      </c>
      <c r="F10" t="s">
        <v>9</v>
      </c>
      <c r="G10" t="str">
        <f t="shared" si="5"/>
        <v>2026-04-29 01:30:00.000</v>
      </c>
      <c r="H10" t="str">
        <f t="shared" si="2"/>
        <v>1</v>
      </c>
    </row>
    <row r="11" spans="1:8" x14ac:dyDescent="0.25">
      <c r="A11" t="str">
        <f t="shared" si="3"/>
        <v>I7</v>
      </c>
      <c r="B11" t="s">
        <v>18</v>
      </c>
      <c r="C11" t="str">
        <f t="shared" si="0"/>
        <v>PARTS APPEARANCE</v>
      </c>
      <c r="D11" t="str">
        <f t="shared" si="1"/>
        <v>SPU</v>
      </c>
      <c r="E11" t="str">
        <f t="shared" si="4"/>
        <v>R46,R49</v>
      </c>
      <c r="F11" t="s">
        <v>9</v>
      </c>
      <c r="G11" t="str">
        <f t="shared" si="5"/>
        <v>2026-04-29 01:30:00.000</v>
      </c>
      <c r="H11" t="str">
        <f t="shared" si="2"/>
        <v>1</v>
      </c>
    </row>
    <row r="12" spans="1:8" x14ac:dyDescent="0.25">
      <c r="A12" t="str">
        <f t="shared" si="3"/>
        <v>I7</v>
      </c>
      <c r="B12" t="s">
        <v>19</v>
      </c>
      <c r="C12" t="str">
        <f t="shared" si="0"/>
        <v>PARTS APPEARANCE</v>
      </c>
      <c r="D12" t="str">
        <f t="shared" si="1"/>
        <v>SPU</v>
      </c>
      <c r="E12" t="str">
        <f t="shared" si="4"/>
        <v>R46,R49</v>
      </c>
      <c r="F12" t="s">
        <v>9</v>
      </c>
      <c r="G12" t="str">
        <f t="shared" si="5"/>
        <v>2026-04-29 01:30:00.000</v>
      </c>
      <c r="H12" t="str">
        <f t="shared" si="2"/>
        <v>1</v>
      </c>
    </row>
    <row r="13" spans="1:8" x14ac:dyDescent="0.25">
      <c r="A13" t="str">
        <f t="shared" si="3"/>
        <v>I7</v>
      </c>
      <c r="B13" t="s">
        <v>20</v>
      </c>
      <c r="C13" t="str">
        <f t="shared" si="0"/>
        <v>PARTS APPEARANCE</v>
      </c>
      <c r="D13" t="str">
        <f t="shared" si="1"/>
        <v>SPU</v>
      </c>
      <c r="E13" t="str">
        <f t="shared" si="4"/>
        <v>R46,R49</v>
      </c>
      <c r="F13" t="s">
        <v>9</v>
      </c>
      <c r="G13" t="str">
        <f t="shared" si="5"/>
        <v>2026-04-29 01:30:00.000</v>
      </c>
      <c r="H13" t="str">
        <f t="shared" si="2"/>
        <v>1</v>
      </c>
    </row>
    <row r="14" spans="1:8" x14ac:dyDescent="0.25">
      <c r="A14" t="str">
        <f t="shared" si="3"/>
        <v>I7</v>
      </c>
      <c r="B14" t="s">
        <v>21</v>
      </c>
      <c r="C14" t="str">
        <f t="shared" si="0"/>
        <v>PARTS APPEARANCE</v>
      </c>
      <c r="D14" t="str">
        <f t="shared" si="1"/>
        <v>SPU</v>
      </c>
      <c r="E14" t="str">
        <f t="shared" si="4"/>
        <v>R46,R49</v>
      </c>
      <c r="F14" t="s">
        <v>9</v>
      </c>
      <c r="G14" t="str">
        <f t="shared" si="5"/>
        <v>2026-04-29 01:30:00.000</v>
      </c>
      <c r="H14" t="str">
        <f t="shared" si="2"/>
        <v>1</v>
      </c>
    </row>
    <row r="15" spans="1:8" x14ac:dyDescent="0.25">
      <c r="A15" t="str">
        <f t="shared" si="3"/>
        <v>I7</v>
      </c>
      <c r="B15" t="s">
        <v>22</v>
      </c>
      <c r="C15" t="str">
        <f t="shared" si="0"/>
        <v>PARTS APPEARANCE</v>
      </c>
      <c r="D15" t="str">
        <f t="shared" si="1"/>
        <v>SPU</v>
      </c>
      <c r="E15" t="str">
        <f t="shared" si="4"/>
        <v>R46,R49</v>
      </c>
      <c r="F15" t="s">
        <v>9</v>
      </c>
      <c r="G15" t="str">
        <f t="shared" si="5"/>
        <v>2026-04-29 01:30:00.000</v>
      </c>
      <c r="H15" t="str">
        <f t="shared" si="2"/>
        <v>1</v>
      </c>
    </row>
    <row r="16" spans="1:8" x14ac:dyDescent="0.25">
      <c r="A16" t="str">
        <f t="shared" si="3"/>
        <v>I7</v>
      </c>
      <c r="B16" t="s">
        <v>23</v>
      </c>
      <c r="C16" t="str">
        <f t="shared" si="0"/>
        <v>PARTS APPEARANCE</v>
      </c>
      <c r="D16" t="str">
        <f t="shared" si="1"/>
        <v>SPU</v>
      </c>
      <c r="E16" t="str">
        <f t="shared" si="4"/>
        <v>R46,R49</v>
      </c>
      <c r="F16" t="s">
        <v>9</v>
      </c>
      <c r="G16" t="str">
        <f t="shared" si="5"/>
        <v>2026-04-29 01:30:00.000</v>
      </c>
      <c r="H16" t="str">
        <f t="shared" si="2"/>
        <v>1</v>
      </c>
    </row>
    <row r="17" spans="1:8" x14ac:dyDescent="0.25">
      <c r="A17" t="str">
        <f t="shared" si="3"/>
        <v>I7</v>
      </c>
      <c r="B17" t="s">
        <v>24</v>
      </c>
      <c r="C17" t="str">
        <f t="shared" si="0"/>
        <v>PARTS APPEARANCE</v>
      </c>
      <c r="D17" t="str">
        <f t="shared" si="1"/>
        <v>SPU</v>
      </c>
      <c r="E17" t="str">
        <f t="shared" si="4"/>
        <v>R46,R49</v>
      </c>
      <c r="F17" t="s">
        <v>9</v>
      </c>
      <c r="G17" t="str">
        <f t="shared" si="5"/>
        <v>2026-04-29 01:30:00.000</v>
      </c>
      <c r="H17" t="str">
        <f t="shared" si="2"/>
        <v>1</v>
      </c>
    </row>
    <row r="18" spans="1:8" x14ac:dyDescent="0.25">
      <c r="A18" t="str">
        <f t="shared" si="3"/>
        <v>I7</v>
      </c>
      <c r="B18" t="s">
        <v>25</v>
      </c>
      <c r="C18" t="str">
        <f t="shared" si="0"/>
        <v>PARTS APPEARANCE</v>
      </c>
      <c r="D18" t="str">
        <f t="shared" si="1"/>
        <v>SPU</v>
      </c>
      <c r="E18" t="str">
        <f t="shared" si="4"/>
        <v>R46,R49</v>
      </c>
      <c r="F18" t="s">
        <v>9</v>
      </c>
      <c r="G18" t="str">
        <f t="shared" si="5"/>
        <v>2026-04-29 01:30:00.000</v>
      </c>
      <c r="H18" t="str">
        <f t="shared" si="2"/>
        <v>1</v>
      </c>
    </row>
    <row r="19" spans="1:8" x14ac:dyDescent="0.25">
      <c r="A19" t="str">
        <f t="shared" si="3"/>
        <v>I7</v>
      </c>
      <c r="B19" t="s">
        <v>26</v>
      </c>
      <c r="C19" t="str">
        <f t="shared" si="0"/>
        <v>PARTS APPEARANCE</v>
      </c>
      <c r="D19" t="str">
        <f t="shared" si="1"/>
        <v>SPU</v>
      </c>
      <c r="E19" t="str">
        <f t="shared" si="4"/>
        <v>R46,R49</v>
      </c>
      <c r="F19" t="s">
        <v>9</v>
      </c>
      <c r="G19" t="str">
        <f t="shared" si="5"/>
        <v>2026-04-29 01:30:00.000</v>
      </c>
      <c r="H19" t="str">
        <f t="shared" si="2"/>
        <v>1</v>
      </c>
    </row>
    <row r="20" spans="1:8" x14ac:dyDescent="0.25">
      <c r="A20" t="str">
        <f t="shared" si="3"/>
        <v>I7</v>
      </c>
      <c r="B20" t="s">
        <v>27</v>
      </c>
      <c r="C20" t="str">
        <f t="shared" si="0"/>
        <v>PARTS APPEARANCE</v>
      </c>
      <c r="D20" t="str">
        <f t="shared" si="1"/>
        <v>SPU</v>
      </c>
      <c r="E20" t="str">
        <f t="shared" si="4"/>
        <v>R46,R49</v>
      </c>
      <c r="F20" t="s">
        <v>9</v>
      </c>
      <c r="G20" t="str">
        <f t="shared" si="5"/>
        <v>2026-04-29 01:30:00.000</v>
      </c>
      <c r="H20" t="str">
        <f t="shared" si="2"/>
        <v>1</v>
      </c>
    </row>
    <row r="21" spans="1:8" x14ac:dyDescent="0.25">
      <c r="A21" t="str">
        <f t="shared" si="3"/>
        <v>I7</v>
      </c>
      <c r="B21" t="s">
        <v>28</v>
      </c>
      <c r="C21" t="str">
        <f t="shared" si="0"/>
        <v>PARTS APPEARANCE</v>
      </c>
      <c r="D21" t="str">
        <f t="shared" si="1"/>
        <v>SPU</v>
      </c>
      <c r="E21" t="str">
        <f t="shared" si="4"/>
        <v>R46,R49</v>
      </c>
      <c r="F21" t="s">
        <v>9</v>
      </c>
      <c r="G21" t="str">
        <f t="shared" si="5"/>
        <v>2026-04-29 01:30:00.000</v>
      </c>
      <c r="H21" t="str">
        <f t="shared" si="2"/>
        <v>1</v>
      </c>
    </row>
    <row r="22" spans="1:8" x14ac:dyDescent="0.25">
      <c r="A22" t="str">
        <f t="shared" si="3"/>
        <v>I7</v>
      </c>
      <c r="B22" t="s">
        <v>29</v>
      </c>
      <c r="C22" t="str">
        <f t="shared" si="0"/>
        <v>PARTS APPEARANCE</v>
      </c>
      <c r="D22" t="str">
        <f t="shared" si="1"/>
        <v>SPU</v>
      </c>
      <c r="E22" t="str">
        <f t="shared" si="4"/>
        <v>R46,R49</v>
      </c>
      <c r="F22" t="s">
        <v>9</v>
      </c>
      <c r="G22" t="str">
        <f t="shared" si="5"/>
        <v>2026-04-29 01:30:00.000</v>
      </c>
      <c r="H22" t="str">
        <f t="shared" si="2"/>
        <v>1</v>
      </c>
    </row>
    <row r="23" spans="1:8" x14ac:dyDescent="0.25">
      <c r="A23" t="str">
        <f t="shared" si="3"/>
        <v>I7</v>
      </c>
      <c r="B23" t="s">
        <v>30</v>
      </c>
      <c r="C23" t="str">
        <f t="shared" si="0"/>
        <v>PARTS APPEARANCE</v>
      </c>
      <c r="D23" t="str">
        <f t="shared" si="1"/>
        <v>SPU</v>
      </c>
      <c r="E23" t="str">
        <f t="shared" si="4"/>
        <v>R46,R49</v>
      </c>
      <c r="F23" t="s">
        <v>9</v>
      </c>
      <c r="G23" t="str">
        <f t="shared" si="5"/>
        <v>2026-04-29 01:30:00.000</v>
      </c>
      <c r="H23" t="str">
        <f t="shared" si="2"/>
        <v>1</v>
      </c>
    </row>
    <row r="24" spans="1:8" x14ac:dyDescent="0.25">
      <c r="A24" t="str">
        <f t="shared" si="3"/>
        <v>I7</v>
      </c>
      <c r="B24" t="s">
        <v>31</v>
      </c>
      <c r="C24" t="str">
        <f t="shared" si="0"/>
        <v>PARTS APPEARANCE</v>
      </c>
      <c r="D24" t="str">
        <f t="shared" si="1"/>
        <v>SPU</v>
      </c>
      <c r="E24" t="str">
        <f t="shared" si="4"/>
        <v>R46,R49</v>
      </c>
      <c r="F24" t="s">
        <v>9</v>
      </c>
      <c r="G24" t="str">
        <f t="shared" si="5"/>
        <v>2026-04-29 01:30:00.000</v>
      </c>
      <c r="H24" t="str">
        <f t="shared" si="2"/>
        <v>1</v>
      </c>
    </row>
    <row r="25" spans="1:8" x14ac:dyDescent="0.25">
      <c r="A25" t="str">
        <f t="shared" si="3"/>
        <v>I7</v>
      </c>
      <c r="B25" t="s">
        <v>32</v>
      </c>
      <c r="C25" t="str">
        <f t="shared" si="0"/>
        <v>PARTS APPEARANCE</v>
      </c>
      <c r="D25" t="str">
        <f t="shared" si="1"/>
        <v>SPU</v>
      </c>
      <c r="E25" t="str">
        <f t="shared" si="4"/>
        <v>R46,R49</v>
      </c>
      <c r="F25" t="s">
        <v>9</v>
      </c>
      <c r="G25" t="str">
        <f t="shared" si="5"/>
        <v>2026-04-29 01:30:00.000</v>
      </c>
      <c r="H25" t="str">
        <f t="shared" si="2"/>
        <v>1</v>
      </c>
    </row>
    <row r="26" spans="1:8" x14ac:dyDescent="0.25">
      <c r="A26" t="str">
        <f t="shared" si="3"/>
        <v>I7</v>
      </c>
      <c r="B26" t="s">
        <v>33</v>
      </c>
      <c r="C26" t="str">
        <f t="shared" si="0"/>
        <v>PARTS APPEARANCE</v>
      </c>
      <c r="D26" t="str">
        <f t="shared" si="1"/>
        <v>SPU</v>
      </c>
      <c r="E26" t="str">
        <f t="shared" si="4"/>
        <v>R46,R49</v>
      </c>
      <c r="F26" t="s">
        <v>9</v>
      </c>
      <c r="G26" t="str">
        <f t="shared" si="5"/>
        <v>2026-04-29 01:30:00.000</v>
      </c>
      <c r="H26" t="str">
        <f t="shared" si="2"/>
        <v>1</v>
      </c>
    </row>
    <row r="27" spans="1:8" x14ac:dyDescent="0.25">
      <c r="A27" t="str">
        <f t="shared" si="3"/>
        <v>I7</v>
      </c>
      <c r="B27" t="s">
        <v>34</v>
      </c>
      <c r="C27" t="str">
        <f t="shared" si="0"/>
        <v>PARTS APPEARANCE</v>
      </c>
      <c r="D27" t="str">
        <f t="shared" si="1"/>
        <v>SPU</v>
      </c>
      <c r="E27" t="str">
        <f t="shared" si="4"/>
        <v>R46,R49</v>
      </c>
      <c r="F27" t="s">
        <v>9</v>
      </c>
      <c r="G27" t="str">
        <f t="shared" si="5"/>
        <v>2026-04-29 01:30:00.000</v>
      </c>
      <c r="H27" t="str">
        <f t="shared" si="2"/>
        <v>1</v>
      </c>
    </row>
  </sheetData>
  <conditionalFormatting sqref="B2:B2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363D-6149-40EB-86EE-896690CF00A5}">
  <dimension ref="A1:G20"/>
  <sheetViews>
    <sheetView workbookViewId="0">
      <selection activeCell="L13" sqref="A1:XFD1048576"/>
    </sheetView>
  </sheetViews>
  <sheetFormatPr defaultRowHeight="15" x14ac:dyDescent="0.25"/>
  <cols>
    <col min="1" max="1" width="8.140625" bestFit="1" customWidth="1"/>
    <col min="2" max="2" width="14.42578125" bestFit="1" customWidth="1"/>
    <col min="3" max="3" width="10.28515625" bestFit="1" customWidth="1"/>
    <col min="4" max="4" width="17.5703125" bestFit="1" customWidth="1"/>
    <col min="5" max="5" width="8.42578125" bestFit="1" customWidth="1"/>
    <col min="6" max="6" width="7.140625" bestFit="1" customWidth="1"/>
    <col min="7" max="7" width="22" bestFit="1" customWidth="1"/>
  </cols>
  <sheetData>
    <row r="1" spans="1:7" x14ac:dyDescent="0.25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5</v>
      </c>
      <c r="G1" t="s">
        <v>6</v>
      </c>
    </row>
    <row r="2" spans="1:7" x14ac:dyDescent="0.25">
      <c r="A2" t="str">
        <f>IF(TRIM(B2)="","", "F2")</f>
        <v>F2</v>
      </c>
      <c r="B2" t="s">
        <v>38</v>
      </c>
      <c r="C2" t="str">
        <f>IF(TRIM(B2)="","", "DVA4168")</f>
        <v>DVA4168</v>
      </c>
      <c r="D2" t="str">
        <f>IF(TRIM(B2)="","", "90400-0151-G03-JP")</f>
        <v>90400-0151-G03-JP</v>
      </c>
      <c r="E2" t="str">
        <f>IF(TRIM(B2)="","", "")</f>
        <v/>
      </c>
      <c r="F2" t="str">
        <f>IF(TRIM(B2)="","", "017")</f>
        <v>017</v>
      </c>
      <c r="G2" t="s">
        <v>39</v>
      </c>
    </row>
    <row r="3" spans="1:7" x14ac:dyDescent="0.25">
      <c r="A3" t="str">
        <f t="shared" ref="A3:A20" si="0">IF(TRIM(B3)="","", "F2")</f>
        <v>F2</v>
      </c>
      <c r="B3" t="s">
        <v>40</v>
      </c>
      <c r="C3" t="str">
        <f t="shared" ref="C3:C20" si="1">IF(TRIM(B3)="","", "DVA4168")</f>
        <v>DVA4168</v>
      </c>
      <c r="D3" t="str">
        <f t="shared" ref="D3:D20" si="2">IF(TRIM(B3)="","", "90400-0151-G03-JP")</f>
        <v>90400-0151-G03-JP</v>
      </c>
      <c r="E3" t="str">
        <f t="shared" ref="E3:E20" si="3">IF(TRIM(B3)="","", "")</f>
        <v/>
      </c>
      <c r="F3" t="str">
        <f t="shared" ref="F3:F20" si="4">IF(TRIM(B3)="","", "017")</f>
        <v>017</v>
      </c>
      <c r="G3" t="s">
        <v>41</v>
      </c>
    </row>
    <row r="4" spans="1:7" x14ac:dyDescent="0.25">
      <c r="A4" t="str">
        <f t="shared" si="0"/>
        <v>F2</v>
      </c>
      <c r="B4" t="s">
        <v>42</v>
      </c>
      <c r="C4" t="str">
        <f t="shared" si="1"/>
        <v>DVA4168</v>
      </c>
      <c r="D4" t="str">
        <f t="shared" si="2"/>
        <v>90400-0151-G03-JP</v>
      </c>
      <c r="E4" t="str">
        <f t="shared" si="3"/>
        <v/>
      </c>
      <c r="F4" t="str">
        <f t="shared" si="4"/>
        <v>017</v>
      </c>
      <c r="G4" t="s">
        <v>43</v>
      </c>
    </row>
    <row r="5" spans="1:7" x14ac:dyDescent="0.25">
      <c r="A5" t="str">
        <f t="shared" si="0"/>
        <v>F2</v>
      </c>
      <c r="B5" t="s">
        <v>44</v>
      </c>
      <c r="C5" t="str">
        <f t="shared" si="1"/>
        <v>DVA4168</v>
      </c>
      <c r="D5" t="str">
        <f t="shared" si="2"/>
        <v>90400-0151-G03-JP</v>
      </c>
      <c r="E5" t="str">
        <f t="shared" si="3"/>
        <v/>
      </c>
      <c r="F5" t="str">
        <f t="shared" si="4"/>
        <v>017</v>
      </c>
      <c r="G5" t="s">
        <v>45</v>
      </c>
    </row>
    <row r="6" spans="1:7" x14ac:dyDescent="0.25">
      <c r="A6" t="str">
        <f t="shared" si="0"/>
        <v>F2</v>
      </c>
      <c r="B6" t="s">
        <v>46</v>
      </c>
      <c r="C6" t="str">
        <f t="shared" si="1"/>
        <v>DVA4168</v>
      </c>
      <c r="D6" t="str">
        <f t="shared" si="2"/>
        <v>90400-0151-G03-JP</v>
      </c>
      <c r="E6" t="str">
        <f t="shared" si="3"/>
        <v/>
      </c>
      <c r="F6" t="str">
        <f t="shared" si="4"/>
        <v>017</v>
      </c>
      <c r="G6" t="s">
        <v>47</v>
      </c>
    </row>
    <row r="7" spans="1:7" x14ac:dyDescent="0.25">
      <c r="A7" t="str">
        <f t="shared" si="0"/>
        <v>F2</v>
      </c>
      <c r="B7" t="s">
        <v>48</v>
      </c>
      <c r="C7" t="str">
        <f t="shared" si="1"/>
        <v>DVA4168</v>
      </c>
      <c r="D7" t="str">
        <f t="shared" si="2"/>
        <v>90400-0151-G03-JP</v>
      </c>
      <c r="E7" t="str">
        <f t="shared" si="3"/>
        <v/>
      </c>
      <c r="F7" t="str">
        <f t="shared" si="4"/>
        <v>017</v>
      </c>
      <c r="G7" t="s">
        <v>49</v>
      </c>
    </row>
    <row r="8" spans="1:7" x14ac:dyDescent="0.25">
      <c r="A8" t="str">
        <f t="shared" si="0"/>
        <v>F2</v>
      </c>
      <c r="B8" t="s">
        <v>50</v>
      </c>
      <c r="C8" t="str">
        <f t="shared" si="1"/>
        <v>DVA4168</v>
      </c>
      <c r="D8" t="str">
        <f t="shared" si="2"/>
        <v>90400-0151-G03-JP</v>
      </c>
      <c r="E8" t="str">
        <f t="shared" si="3"/>
        <v/>
      </c>
      <c r="F8" t="str">
        <f t="shared" si="4"/>
        <v>017</v>
      </c>
      <c r="G8" t="s">
        <v>51</v>
      </c>
    </row>
    <row r="9" spans="1:7" x14ac:dyDescent="0.25">
      <c r="A9" t="str">
        <f t="shared" si="0"/>
        <v>F2</v>
      </c>
      <c r="B9" t="s">
        <v>52</v>
      </c>
      <c r="C9" t="str">
        <f t="shared" si="1"/>
        <v>DVA4168</v>
      </c>
      <c r="D9" t="str">
        <f t="shared" si="2"/>
        <v>90400-0151-G03-JP</v>
      </c>
      <c r="E9" t="str">
        <f t="shared" si="3"/>
        <v/>
      </c>
      <c r="F9" t="str">
        <f t="shared" si="4"/>
        <v>017</v>
      </c>
      <c r="G9" t="s">
        <v>53</v>
      </c>
    </row>
    <row r="10" spans="1:7" x14ac:dyDescent="0.25">
      <c r="A10" t="str">
        <f t="shared" si="0"/>
        <v>F2</v>
      </c>
      <c r="B10" t="s">
        <v>54</v>
      </c>
      <c r="C10" t="str">
        <f t="shared" si="1"/>
        <v>DVA4168</v>
      </c>
      <c r="D10" t="str">
        <f t="shared" si="2"/>
        <v>90400-0151-G03-JP</v>
      </c>
      <c r="E10" t="str">
        <f t="shared" si="3"/>
        <v/>
      </c>
      <c r="F10" t="str">
        <f t="shared" si="4"/>
        <v>017</v>
      </c>
      <c r="G10" t="s">
        <v>55</v>
      </c>
    </row>
    <row r="11" spans="1:7" x14ac:dyDescent="0.25">
      <c r="A11" t="str">
        <f t="shared" si="0"/>
        <v>F2</v>
      </c>
      <c r="B11" t="s">
        <v>56</v>
      </c>
      <c r="C11" t="str">
        <f t="shared" si="1"/>
        <v>DVA4168</v>
      </c>
      <c r="D11" t="str">
        <f t="shared" si="2"/>
        <v>90400-0151-G03-JP</v>
      </c>
      <c r="E11" t="str">
        <f t="shared" si="3"/>
        <v/>
      </c>
      <c r="F11" t="str">
        <f t="shared" si="4"/>
        <v>017</v>
      </c>
      <c r="G11" t="s">
        <v>57</v>
      </c>
    </row>
    <row r="12" spans="1:7" x14ac:dyDescent="0.25">
      <c r="A12" t="str">
        <f t="shared" si="0"/>
        <v>F2</v>
      </c>
      <c r="B12" t="s">
        <v>58</v>
      </c>
      <c r="C12" t="str">
        <f t="shared" si="1"/>
        <v>DVA4168</v>
      </c>
      <c r="D12" t="str">
        <f t="shared" si="2"/>
        <v>90400-0151-G03-JP</v>
      </c>
      <c r="E12" t="str">
        <f t="shared" si="3"/>
        <v/>
      </c>
      <c r="F12" t="str">
        <f t="shared" si="4"/>
        <v>017</v>
      </c>
      <c r="G12" t="s">
        <v>59</v>
      </c>
    </row>
    <row r="13" spans="1:7" x14ac:dyDescent="0.25">
      <c r="A13" t="str">
        <f t="shared" si="0"/>
        <v>F2</v>
      </c>
      <c r="B13" t="s">
        <v>60</v>
      </c>
      <c r="C13" t="str">
        <f t="shared" si="1"/>
        <v>DVA4168</v>
      </c>
      <c r="D13" t="str">
        <f t="shared" si="2"/>
        <v>90400-0151-G03-JP</v>
      </c>
      <c r="E13" t="str">
        <f t="shared" si="3"/>
        <v/>
      </c>
      <c r="F13" t="str">
        <f t="shared" si="4"/>
        <v>017</v>
      </c>
      <c r="G13" t="s">
        <v>61</v>
      </c>
    </row>
    <row r="14" spans="1:7" x14ac:dyDescent="0.25">
      <c r="A14" t="str">
        <f t="shared" si="0"/>
        <v>F2</v>
      </c>
      <c r="B14" t="s">
        <v>62</v>
      </c>
      <c r="C14" t="str">
        <f t="shared" si="1"/>
        <v>DVA4168</v>
      </c>
      <c r="D14" t="str">
        <f t="shared" si="2"/>
        <v>90400-0151-G03-JP</v>
      </c>
      <c r="E14" t="str">
        <f t="shared" si="3"/>
        <v/>
      </c>
      <c r="F14" t="str">
        <f t="shared" si="4"/>
        <v>017</v>
      </c>
      <c r="G14" t="s">
        <v>63</v>
      </c>
    </row>
    <row r="15" spans="1:7" x14ac:dyDescent="0.25">
      <c r="A15" t="str">
        <f t="shared" si="0"/>
        <v>F2</v>
      </c>
      <c r="B15" t="s">
        <v>64</v>
      </c>
      <c r="C15" t="str">
        <f t="shared" si="1"/>
        <v>DVA4168</v>
      </c>
      <c r="D15" t="str">
        <f t="shared" si="2"/>
        <v>90400-0151-G03-JP</v>
      </c>
      <c r="E15" t="str">
        <f t="shared" si="3"/>
        <v/>
      </c>
      <c r="F15" t="str">
        <f t="shared" si="4"/>
        <v>017</v>
      </c>
      <c r="G15" t="s">
        <v>65</v>
      </c>
    </row>
    <row r="16" spans="1:7" x14ac:dyDescent="0.25">
      <c r="A16" t="str">
        <f t="shared" si="0"/>
        <v>F2</v>
      </c>
      <c r="B16" t="s">
        <v>66</v>
      </c>
      <c r="C16" t="str">
        <f t="shared" si="1"/>
        <v>DVA4168</v>
      </c>
      <c r="D16" t="str">
        <f t="shared" si="2"/>
        <v>90400-0151-G03-JP</v>
      </c>
      <c r="E16" t="str">
        <f t="shared" si="3"/>
        <v/>
      </c>
      <c r="F16" t="str">
        <f t="shared" si="4"/>
        <v>017</v>
      </c>
      <c r="G16" t="s">
        <v>67</v>
      </c>
    </row>
    <row r="17" spans="1:7" x14ac:dyDescent="0.25">
      <c r="A17" t="str">
        <f t="shared" si="0"/>
        <v>F2</v>
      </c>
      <c r="B17" t="s">
        <v>68</v>
      </c>
      <c r="C17" t="str">
        <f t="shared" si="1"/>
        <v>DVA4168</v>
      </c>
      <c r="D17" t="str">
        <f t="shared" si="2"/>
        <v>90400-0151-G03-JP</v>
      </c>
      <c r="E17" t="str">
        <f t="shared" si="3"/>
        <v/>
      </c>
      <c r="F17" t="str">
        <f t="shared" si="4"/>
        <v>017</v>
      </c>
      <c r="G17" t="s">
        <v>69</v>
      </c>
    </row>
    <row r="18" spans="1:7" x14ac:dyDescent="0.25">
      <c r="A18" t="str">
        <f t="shared" si="0"/>
        <v>F2</v>
      </c>
      <c r="B18" t="s">
        <v>70</v>
      </c>
      <c r="C18" t="str">
        <f t="shared" si="1"/>
        <v>DVA4168</v>
      </c>
      <c r="D18" t="str">
        <f t="shared" si="2"/>
        <v>90400-0151-G03-JP</v>
      </c>
      <c r="E18" t="str">
        <f t="shared" si="3"/>
        <v/>
      </c>
      <c r="F18" t="str">
        <f t="shared" si="4"/>
        <v>017</v>
      </c>
      <c r="G18" t="s">
        <v>71</v>
      </c>
    </row>
    <row r="19" spans="1:7" x14ac:dyDescent="0.25">
      <c r="A19" t="str">
        <f t="shared" si="0"/>
        <v>F2</v>
      </c>
      <c r="B19" t="s">
        <v>72</v>
      </c>
      <c r="C19" t="str">
        <f t="shared" si="1"/>
        <v>DVA4168</v>
      </c>
      <c r="D19" t="str">
        <f t="shared" si="2"/>
        <v>90400-0151-G03-JP</v>
      </c>
      <c r="E19" t="str">
        <f t="shared" si="3"/>
        <v/>
      </c>
      <c r="F19" t="str">
        <f t="shared" si="4"/>
        <v>017</v>
      </c>
      <c r="G19" t="s">
        <v>73</v>
      </c>
    </row>
    <row r="20" spans="1:7" x14ac:dyDescent="0.25">
      <c r="A20" t="str">
        <f t="shared" si="0"/>
        <v>F2</v>
      </c>
      <c r="B20" t="s">
        <v>74</v>
      </c>
      <c r="C20" t="str">
        <f t="shared" si="1"/>
        <v>DVA4168</v>
      </c>
      <c r="D20" t="str">
        <f t="shared" si="2"/>
        <v>90400-0151-G03-JP</v>
      </c>
      <c r="E20" t="str">
        <f t="shared" si="3"/>
        <v/>
      </c>
      <c r="F20" t="str">
        <f t="shared" si="4"/>
        <v>017</v>
      </c>
      <c r="G20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4C14-5402-4BDD-84C4-A96AD8736A03}">
  <dimension ref="A1:C12"/>
  <sheetViews>
    <sheetView workbookViewId="0">
      <selection activeCell="C2" sqref="C2"/>
    </sheetView>
  </sheetViews>
  <sheetFormatPr defaultRowHeight="15" x14ac:dyDescent="0.25"/>
  <cols>
    <col min="1" max="1" width="8.140625" bestFit="1" customWidth="1"/>
    <col min="2" max="2" width="11.42578125" bestFit="1" customWidth="1"/>
    <col min="3" max="3" width="7.140625" bestFit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tr">
        <f>IF(TRIM(B2)="","", "G7")</f>
        <v>G7</v>
      </c>
      <c r="B2" t="s">
        <v>76</v>
      </c>
      <c r="C2" t="str">
        <f>IF(TRIM(B2)="","", "016")</f>
        <v>016</v>
      </c>
    </row>
    <row r="3" spans="1:3" x14ac:dyDescent="0.25">
      <c r="A3" t="str">
        <f t="shared" ref="A3:A12" si="0">IF(TRIM(B3)="","", "G7")</f>
        <v>G7</v>
      </c>
      <c r="B3" t="s">
        <v>77</v>
      </c>
      <c r="C3" t="str">
        <f>IF(TRIM(B3)="","", "006")</f>
        <v>006</v>
      </c>
    </row>
    <row r="4" spans="1:3" x14ac:dyDescent="0.25">
      <c r="A4" t="str">
        <f t="shared" si="0"/>
        <v>G7</v>
      </c>
      <c r="B4" t="s">
        <v>78</v>
      </c>
      <c r="C4" t="str">
        <f>IF(TRIM(B4)="","", "008")</f>
        <v>008</v>
      </c>
    </row>
    <row r="5" spans="1:3" x14ac:dyDescent="0.25">
      <c r="A5" t="str">
        <f t="shared" si="0"/>
        <v>G7</v>
      </c>
      <c r="B5" t="s">
        <v>79</v>
      </c>
      <c r="C5" t="str">
        <f t="shared" ref="C5" si="1">IF(TRIM(B5)="","", "016")</f>
        <v>016</v>
      </c>
    </row>
    <row r="6" spans="1:3" x14ac:dyDescent="0.25">
      <c r="A6" t="str">
        <f t="shared" si="0"/>
        <v>G7</v>
      </c>
      <c r="B6" t="s">
        <v>80</v>
      </c>
      <c r="C6" t="str">
        <f>IF(TRIM(B6)="","", "006")</f>
        <v>006</v>
      </c>
    </row>
    <row r="7" spans="1:3" x14ac:dyDescent="0.25">
      <c r="A7" t="str">
        <f t="shared" si="0"/>
        <v>G7</v>
      </c>
      <c r="B7" t="s">
        <v>81</v>
      </c>
      <c r="C7" t="str">
        <f t="shared" ref="C7:C12" si="2">IF(TRIM(B7)="","", "006")</f>
        <v>006</v>
      </c>
    </row>
    <row r="8" spans="1:3" x14ac:dyDescent="0.25">
      <c r="A8" t="str">
        <f t="shared" si="0"/>
        <v>G7</v>
      </c>
      <c r="B8" t="s">
        <v>82</v>
      </c>
      <c r="C8" t="str">
        <f>IF(TRIM(B8)="","", "016")</f>
        <v>016</v>
      </c>
    </row>
    <row r="9" spans="1:3" x14ac:dyDescent="0.25">
      <c r="A9" t="str">
        <f t="shared" si="0"/>
        <v>G7</v>
      </c>
      <c r="B9" t="s">
        <v>83</v>
      </c>
      <c r="C9" t="str">
        <f t="shared" si="2"/>
        <v>006</v>
      </c>
    </row>
    <row r="10" spans="1:3" x14ac:dyDescent="0.25">
      <c r="A10" t="str">
        <f t="shared" si="0"/>
        <v>G7</v>
      </c>
      <c r="B10" t="s">
        <v>84</v>
      </c>
      <c r="C10" t="str">
        <f t="shared" si="2"/>
        <v>006</v>
      </c>
    </row>
    <row r="11" spans="1:3" x14ac:dyDescent="0.25">
      <c r="A11" t="str">
        <f t="shared" si="0"/>
        <v>G7</v>
      </c>
      <c r="B11" t="s">
        <v>85</v>
      </c>
      <c r="C11" t="str">
        <f>IF(TRIM(B11)="","", "008")</f>
        <v>008</v>
      </c>
    </row>
    <row r="12" spans="1:3" x14ac:dyDescent="0.25">
      <c r="A12" t="str">
        <f t="shared" si="0"/>
        <v>G7</v>
      </c>
      <c r="B12" t="s">
        <v>86</v>
      </c>
      <c r="C12" t="str">
        <f t="shared" si="2"/>
        <v>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FD95-F4EF-47B1-A4DE-4EF0AA83B4C1}">
  <dimension ref="A1:E12"/>
  <sheetViews>
    <sheetView workbookViewId="0">
      <selection activeCell="G7" sqref="A1:XFD1048576"/>
    </sheetView>
  </sheetViews>
  <sheetFormatPr defaultRowHeight="15" x14ac:dyDescent="0.25"/>
  <cols>
    <col min="1" max="1" width="8.140625" bestFit="1" customWidth="1"/>
    <col min="2" max="2" width="11.42578125" bestFit="1" customWidth="1"/>
    <col min="3" max="3" width="9.5703125" bestFit="1" customWidth="1"/>
    <col min="4" max="4" width="10.28515625" bestFit="1" customWidth="1"/>
    <col min="5" max="5" width="8.42578125" bestFit="1" customWidth="1"/>
  </cols>
  <sheetData>
    <row r="1" spans="1:5" x14ac:dyDescent="0.25">
      <c r="A1" t="s">
        <v>0</v>
      </c>
      <c r="B1" t="s">
        <v>1</v>
      </c>
      <c r="C1" t="s">
        <v>36</v>
      </c>
      <c r="D1" t="s">
        <v>35</v>
      </c>
      <c r="E1" t="s">
        <v>37</v>
      </c>
    </row>
    <row r="2" spans="1:5" x14ac:dyDescent="0.25">
      <c r="A2" t="str">
        <f>IF(TRIM(B2)="","", "G7")</f>
        <v>G7</v>
      </c>
      <c r="B2" t="s">
        <v>76</v>
      </c>
      <c r="C2" t="str">
        <f>IF(TRIM(B2)="","", "EB-1665-1")</f>
        <v>EB-1665-1</v>
      </c>
    </row>
    <row r="3" spans="1:5" x14ac:dyDescent="0.25">
      <c r="A3" t="str">
        <f t="shared" ref="A3:A12" si="0">IF(TRIM(B3)="","", "G7")</f>
        <v>G7</v>
      </c>
      <c r="B3" t="s">
        <v>77</v>
      </c>
      <c r="C3" t="str">
        <f t="shared" ref="C3:C12" si="1">IF(TRIM(B3)="","", "EB-1665-1")</f>
        <v>EB-1665-1</v>
      </c>
      <c r="D3" t="str">
        <f t="shared" ref="D3:D12" si="2">IF(TRIM(B3)="","", "W056116")</f>
        <v>W056116</v>
      </c>
      <c r="E3" t="str">
        <f t="shared" ref="E3:E12" si="3">IF(TRIM(B3)="","", "B02")</f>
        <v>B02</v>
      </c>
    </row>
    <row r="4" spans="1:5" x14ac:dyDescent="0.25">
      <c r="A4" t="str">
        <f t="shared" si="0"/>
        <v>G7</v>
      </c>
      <c r="B4" t="s">
        <v>78</v>
      </c>
      <c r="C4" t="str">
        <f t="shared" si="1"/>
        <v>EB-1665-1</v>
      </c>
      <c r="D4" t="str">
        <f t="shared" si="2"/>
        <v>W056116</v>
      </c>
      <c r="E4" t="str">
        <f t="shared" si="3"/>
        <v>B02</v>
      </c>
    </row>
    <row r="5" spans="1:5" x14ac:dyDescent="0.25">
      <c r="A5" t="str">
        <f t="shared" si="0"/>
        <v>G7</v>
      </c>
      <c r="B5" t="s">
        <v>79</v>
      </c>
      <c r="C5" t="str">
        <f t="shared" si="1"/>
        <v>EB-1665-1</v>
      </c>
      <c r="D5" t="str">
        <f t="shared" si="2"/>
        <v>W056116</v>
      </c>
      <c r="E5" t="str">
        <f t="shared" si="3"/>
        <v>B02</v>
      </c>
    </row>
    <row r="6" spans="1:5" x14ac:dyDescent="0.25">
      <c r="A6" t="str">
        <f t="shared" si="0"/>
        <v>G7</v>
      </c>
      <c r="B6" t="s">
        <v>80</v>
      </c>
      <c r="C6" t="str">
        <f t="shared" si="1"/>
        <v>EB-1665-1</v>
      </c>
      <c r="D6" t="str">
        <f t="shared" si="2"/>
        <v>W056116</v>
      </c>
      <c r="E6" t="str">
        <f t="shared" si="3"/>
        <v>B02</v>
      </c>
    </row>
    <row r="7" spans="1:5" x14ac:dyDescent="0.25">
      <c r="A7" t="str">
        <f t="shared" si="0"/>
        <v>G7</v>
      </c>
      <c r="B7" t="s">
        <v>81</v>
      </c>
      <c r="C7" t="str">
        <f t="shared" si="1"/>
        <v>EB-1665-1</v>
      </c>
      <c r="D7" t="str">
        <f t="shared" si="2"/>
        <v>W056116</v>
      </c>
      <c r="E7" t="str">
        <f t="shared" si="3"/>
        <v>B02</v>
      </c>
    </row>
    <row r="8" spans="1:5" x14ac:dyDescent="0.25">
      <c r="A8" t="str">
        <f t="shared" si="0"/>
        <v>G7</v>
      </c>
      <c r="B8" t="s">
        <v>82</v>
      </c>
      <c r="C8" t="str">
        <f t="shared" si="1"/>
        <v>EB-1665-1</v>
      </c>
      <c r="D8" t="str">
        <f t="shared" si="2"/>
        <v>W056116</v>
      </c>
      <c r="E8" t="str">
        <f t="shared" si="3"/>
        <v>B02</v>
      </c>
    </row>
    <row r="9" spans="1:5" x14ac:dyDescent="0.25">
      <c r="A9" t="str">
        <f t="shared" si="0"/>
        <v>G7</v>
      </c>
      <c r="B9" t="s">
        <v>83</v>
      </c>
      <c r="C9" t="str">
        <f t="shared" si="1"/>
        <v>EB-1665-1</v>
      </c>
      <c r="D9" t="str">
        <f t="shared" si="2"/>
        <v>W056116</v>
      </c>
      <c r="E9" t="str">
        <f t="shared" si="3"/>
        <v>B02</v>
      </c>
    </row>
    <row r="10" spans="1:5" x14ac:dyDescent="0.25">
      <c r="A10" t="str">
        <f t="shared" si="0"/>
        <v>G7</v>
      </c>
      <c r="B10" t="s">
        <v>84</v>
      </c>
      <c r="C10" t="str">
        <f t="shared" si="1"/>
        <v>EB-1665-1</v>
      </c>
      <c r="D10" t="str">
        <f t="shared" si="2"/>
        <v>W056116</v>
      </c>
      <c r="E10" t="str">
        <f t="shared" si="3"/>
        <v>B02</v>
      </c>
    </row>
    <row r="11" spans="1:5" x14ac:dyDescent="0.25">
      <c r="A11" t="str">
        <f t="shared" si="0"/>
        <v>G7</v>
      </c>
      <c r="B11" t="s">
        <v>85</v>
      </c>
      <c r="C11" t="str">
        <f t="shared" si="1"/>
        <v>EB-1665-1</v>
      </c>
      <c r="D11" t="str">
        <f t="shared" si="2"/>
        <v>W056116</v>
      </c>
      <c r="E11" t="str">
        <f t="shared" si="3"/>
        <v>B02</v>
      </c>
    </row>
    <row r="12" spans="1:5" x14ac:dyDescent="0.25">
      <c r="A12" t="str">
        <f t="shared" si="0"/>
        <v>G7</v>
      </c>
      <c r="B12" t="s">
        <v>86</v>
      </c>
      <c r="C12" t="str">
        <f t="shared" si="1"/>
        <v>EB-1665-1</v>
      </c>
      <c r="D12" t="str">
        <f t="shared" si="2"/>
        <v>W056116</v>
      </c>
      <c r="E12" t="str">
        <f t="shared" si="3"/>
        <v>B02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4419-77E2-4965-98D7-89DEF3287603}">
  <dimension ref="A1:E357"/>
  <sheetViews>
    <sheetView workbookViewId="0">
      <selection activeCell="H4" sqref="H4"/>
    </sheetView>
  </sheetViews>
  <sheetFormatPr defaultRowHeight="15" x14ac:dyDescent="0.25"/>
  <cols>
    <col min="1" max="1" width="8.140625" bestFit="1" customWidth="1"/>
    <col min="2" max="3" width="16.42578125" bestFit="1" customWidth="1"/>
    <col min="4" max="4" width="15" bestFit="1" customWidth="1"/>
    <col min="5" max="5" width="8.42578125" bestFit="1" customWidth="1"/>
  </cols>
  <sheetData>
    <row r="1" spans="1:5" x14ac:dyDescent="0.25">
      <c r="A1" t="s">
        <v>0</v>
      </c>
      <c r="B1" t="s">
        <v>87</v>
      </c>
      <c r="C1" t="s">
        <v>88</v>
      </c>
      <c r="D1" t="s">
        <v>36</v>
      </c>
      <c r="E1" t="s">
        <v>37</v>
      </c>
    </row>
    <row r="2" spans="1:5" x14ac:dyDescent="0.25">
      <c r="A2" t="str">
        <f>IF(TRIM(B2)="","", "G7")</f>
        <v>G7</v>
      </c>
      <c r="B2" t="s">
        <v>89</v>
      </c>
      <c r="C2" t="s">
        <v>90</v>
      </c>
      <c r="D2" t="str">
        <f>IF(TRIM(B2)="","", "Leopard-214985")</f>
        <v>Leopard-214985</v>
      </c>
      <c r="E2" t="str">
        <f>IF(TRIM(B2)="","", "A01")</f>
        <v>A01</v>
      </c>
    </row>
    <row r="3" spans="1:5" x14ac:dyDescent="0.25">
      <c r="A3" t="str">
        <f t="shared" ref="A3:A66" si="0">IF(TRIM(B3)="","", "G7")</f>
        <v>G7</v>
      </c>
      <c r="B3" t="s">
        <v>91</v>
      </c>
      <c r="C3" t="s">
        <v>92</v>
      </c>
      <c r="D3" t="str">
        <f t="shared" ref="D3:D66" si="1">IF(TRIM(B3)="","", "Leopard-214985")</f>
        <v>Leopard-214985</v>
      </c>
      <c r="E3" t="str">
        <f t="shared" ref="E3:E66" si="2">IF(TRIM(B3)="","", "A01")</f>
        <v>A01</v>
      </c>
    </row>
    <row r="4" spans="1:5" x14ac:dyDescent="0.25">
      <c r="A4" t="str">
        <f t="shared" si="0"/>
        <v>G7</v>
      </c>
      <c r="B4" t="s">
        <v>93</v>
      </c>
      <c r="C4" t="s">
        <v>94</v>
      </c>
      <c r="D4" t="str">
        <f t="shared" si="1"/>
        <v>Leopard-214985</v>
      </c>
      <c r="E4" t="str">
        <f t="shared" si="2"/>
        <v>A01</v>
      </c>
    </row>
    <row r="5" spans="1:5" x14ac:dyDescent="0.25">
      <c r="A5" t="str">
        <f t="shared" si="0"/>
        <v>G7</v>
      </c>
      <c r="B5" t="s">
        <v>95</v>
      </c>
      <c r="C5" t="s">
        <v>96</v>
      </c>
      <c r="D5" t="str">
        <f t="shared" si="1"/>
        <v>Leopard-214985</v>
      </c>
      <c r="E5" t="str">
        <f t="shared" si="2"/>
        <v>A01</v>
      </c>
    </row>
    <row r="6" spans="1:5" x14ac:dyDescent="0.25">
      <c r="A6" t="str">
        <f t="shared" si="0"/>
        <v>G7</v>
      </c>
      <c r="B6" t="s">
        <v>97</v>
      </c>
      <c r="C6" t="s">
        <v>98</v>
      </c>
      <c r="D6" t="str">
        <f t="shared" si="1"/>
        <v>Leopard-214985</v>
      </c>
      <c r="E6" t="str">
        <f t="shared" si="2"/>
        <v>A01</v>
      </c>
    </row>
    <row r="7" spans="1:5" x14ac:dyDescent="0.25">
      <c r="A7" t="str">
        <f t="shared" si="0"/>
        <v>G7</v>
      </c>
      <c r="B7" t="s">
        <v>99</v>
      </c>
      <c r="C7" t="s">
        <v>100</v>
      </c>
      <c r="D7" t="str">
        <f t="shared" si="1"/>
        <v>Leopard-214985</v>
      </c>
      <c r="E7" t="str">
        <f t="shared" si="2"/>
        <v>A01</v>
      </c>
    </row>
    <row r="8" spans="1:5" x14ac:dyDescent="0.25">
      <c r="A8" t="str">
        <f t="shared" si="0"/>
        <v>G7</v>
      </c>
      <c r="B8" t="s">
        <v>101</v>
      </c>
      <c r="C8" t="s">
        <v>102</v>
      </c>
      <c r="D8" t="str">
        <f t="shared" si="1"/>
        <v>Leopard-214985</v>
      </c>
      <c r="E8" t="str">
        <f t="shared" si="2"/>
        <v>A01</v>
      </c>
    </row>
    <row r="9" spans="1:5" x14ac:dyDescent="0.25">
      <c r="A9" t="str">
        <f t="shared" si="0"/>
        <v>G7</v>
      </c>
      <c r="B9" t="s">
        <v>103</v>
      </c>
      <c r="C9" t="s">
        <v>104</v>
      </c>
      <c r="D9" t="str">
        <f t="shared" si="1"/>
        <v>Leopard-214985</v>
      </c>
      <c r="E9" t="str">
        <f t="shared" si="2"/>
        <v>A01</v>
      </c>
    </row>
    <row r="10" spans="1:5" x14ac:dyDescent="0.25">
      <c r="A10" t="str">
        <f t="shared" si="0"/>
        <v>G7</v>
      </c>
      <c r="B10" t="s">
        <v>105</v>
      </c>
      <c r="C10" t="s">
        <v>106</v>
      </c>
      <c r="D10" t="str">
        <f t="shared" si="1"/>
        <v>Leopard-214985</v>
      </c>
      <c r="E10" t="str">
        <f t="shared" si="2"/>
        <v>A01</v>
      </c>
    </row>
    <row r="11" spans="1:5" x14ac:dyDescent="0.25">
      <c r="A11" t="str">
        <f t="shared" si="0"/>
        <v>G7</v>
      </c>
      <c r="B11" t="s">
        <v>107</v>
      </c>
      <c r="C11" t="s">
        <v>108</v>
      </c>
      <c r="D11" t="str">
        <f t="shared" si="1"/>
        <v>Leopard-214985</v>
      </c>
      <c r="E11" t="str">
        <f t="shared" si="2"/>
        <v>A01</v>
      </c>
    </row>
    <row r="12" spans="1:5" x14ac:dyDescent="0.25">
      <c r="A12" t="str">
        <f t="shared" si="0"/>
        <v>G7</v>
      </c>
      <c r="B12" t="s">
        <v>109</v>
      </c>
      <c r="C12" t="s">
        <v>110</v>
      </c>
      <c r="D12" t="str">
        <f t="shared" si="1"/>
        <v>Leopard-214985</v>
      </c>
      <c r="E12" t="str">
        <f t="shared" si="2"/>
        <v>A01</v>
      </c>
    </row>
    <row r="13" spans="1:5" x14ac:dyDescent="0.25">
      <c r="A13" t="str">
        <f t="shared" si="0"/>
        <v>G7</v>
      </c>
      <c r="B13" t="s">
        <v>111</v>
      </c>
      <c r="C13" t="s">
        <v>112</v>
      </c>
      <c r="D13" t="str">
        <f t="shared" si="1"/>
        <v>Leopard-214985</v>
      </c>
      <c r="E13" t="str">
        <f t="shared" si="2"/>
        <v>A01</v>
      </c>
    </row>
    <row r="14" spans="1:5" x14ac:dyDescent="0.25">
      <c r="A14" t="str">
        <f t="shared" si="0"/>
        <v>G7</v>
      </c>
      <c r="B14" t="s">
        <v>113</v>
      </c>
      <c r="C14" t="s">
        <v>114</v>
      </c>
      <c r="D14" t="str">
        <f t="shared" si="1"/>
        <v>Leopard-214985</v>
      </c>
      <c r="E14" t="str">
        <f t="shared" si="2"/>
        <v>A01</v>
      </c>
    </row>
    <row r="15" spans="1:5" x14ac:dyDescent="0.25">
      <c r="A15" t="str">
        <f t="shared" si="0"/>
        <v>G7</v>
      </c>
      <c r="B15" t="s">
        <v>115</v>
      </c>
      <c r="C15" t="s">
        <v>116</v>
      </c>
      <c r="D15" t="str">
        <f t="shared" si="1"/>
        <v>Leopard-214985</v>
      </c>
      <c r="E15" t="str">
        <f t="shared" si="2"/>
        <v>A01</v>
      </c>
    </row>
    <row r="16" spans="1:5" x14ac:dyDescent="0.25">
      <c r="A16" t="str">
        <f t="shared" si="0"/>
        <v>G7</v>
      </c>
      <c r="B16" t="s">
        <v>117</v>
      </c>
      <c r="C16" t="s">
        <v>118</v>
      </c>
      <c r="D16" t="str">
        <f t="shared" si="1"/>
        <v>Leopard-214985</v>
      </c>
      <c r="E16" t="str">
        <f t="shared" si="2"/>
        <v>A01</v>
      </c>
    </row>
    <row r="17" spans="1:5" x14ac:dyDescent="0.25">
      <c r="A17" t="str">
        <f t="shared" si="0"/>
        <v>G7</v>
      </c>
      <c r="B17" t="s">
        <v>119</v>
      </c>
      <c r="C17" t="s">
        <v>120</v>
      </c>
      <c r="D17" t="str">
        <f t="shared" si="1"/>
        <v>Leopard-214985</v>
      </c>
      <c r="E17" t="str">
        <f t="shared" si="2"/>
        <v>A01</v>
      </c>
    </row>
    <row r="18" spans="1:5" x14ac:dyDescent="0.25">
      <c r="A18" t="str">
        <f t="shared" si="0"/>
        <v>G7</v>
      </c>
      <c r="B18" t="s">
        <v>121</v>
      </c>
      <c r="C18" t="s">
        <v>122</v>
      </c>
      <c r="D18" t="str">
        <f t="shared" si="1"/>
        <v>Leopard-214985</v>
      </c>
      <c r="E18" t="str">
        <f t="shared" si="2"/>
        <v>A01</v>
      </c>
    </row>
    <row r="19" spans="1:5" x14ac:dyDescent="0.25">
      <c r="A19" t="str">
        <f t="shared" si="0"/>
        <v>G7</v>
      </c>
      <c r="B19" t="s">
        <v>123</v>
      </c>
      <c r="C19" t="s">
        <v>124</v>
      </c>
      <c r="D19" t="str">
        <f t="shared" si="1"/>
        <v>Leopard-214985</v>
      </c>
      <c r="E19" t="str">
        <f t="shared" si="2"/>
        <v>A01</v>
      </c>
    </row>
    <row r="20" spans="1:5" x14ac:dyDescent="0.25">
      <c r="A20" t="str">
        <f t="shared" si="0"/>
        <v>G7</v>
      </c>
      <c r="B20" t="s">
        <v>125</v>
      </c>
      <c r="C20" t="s">
        <v>126</v>
      </c>
      <c r="D20" t="str">
        <f t="shared" si="1"/>
        <v>Leopard-214985</v>
      </c>
      <c r="E20" t="str">
        <f t="shared" si="2"/>
        <v>A01</v>
      </c>
    </row>
    <row r="21" spans="1:5" x14ac:dyDescent="0.25">
      <c r="A21" t="str">
        <f t="shared" si="0"/>
        <v>G7</v>
      </c>
      <c r="B21" t="s">
        <v>127</v>
      </c>
      <c r="C21" t="s">
        <v>128</v>
      </c>
      <c r="D21" t="str">
        <f t="shared" si="1"/>
        <v>Leopard-214985</v>
      </c>
      <c r="E21" t="str">
        <f t="shared" si="2"/>
        <v>A01</v>
      </c>
    </row>
    <row r="22" spans="1:5" x14ac:dyDescent="0.25">
      <c r="A22" t="str">
        <f t="shared" si="0"/>
        <v>G7</v>
      </c>
      <c r="B22" t="s">
        <v>129</v>
      </c>
      <c r="C22" t="s">
        <v>130</v>
      </c>
      <c r="D22" t="str">
        <f t="shared" si="1"/>
        <v>Leopard-214985</v>
      </c>
      <c r="E22" t="str">
        <f t="shared" si="2"/>
        <v>A01</v>
      </c>
    </row>
    <row r="23" spans="1:5" x14ac:dyDescent="0.25">
      <c r="A23" t="str">
        <f t="shared" si="0"/>
        <v>G7</v>
      </c>
      <c r="B23" t="s">
        <v>131</v>
      </c>
      <c r="C23" t="s">
        <v>132</v>
      </c>
      <c r="D23" t="str">
        <f t="shared" si="1"/>
        <v>Leopard-214985</v>
      </c>
      <c r="E23" t="str">
        <f t="shared" si="2"/>
        <v>A01</v>
      </c>
    </row>
    <row r="24" spans="1:5" x14ac:dyDescent="0.25">
      <c r="A24" t="str">
        <f t="shared" si="0"/>
        <v>G7</v>
      </c>
      <c r="B24" t="s">
        <v>133</v>
      </c>
      <c r="C24" t="s">
        <v>134</v>
      </c>
      <c r="D24" t="str">
        <f t="shared" si="1"/>
        <v>Leopard-214985</v>
      </c>
      <c r="E24" t="str">
        <f t="shared" si="2"/>
        <v>A01</v>
      </c>
    </row>
    <row r="25" spans="1:5" x14ac:dyDescent="0.25">
      <c r="A25" t="str">
        <f t="shared" si="0"/>
        <v>G7</v>
      </c>
      <c r="B25" t="s">
        <v>135</v>
      </c>
      <c r="C25" t="s">
        <v>136</v>
      </c>
      <c r="D25" t="str">
        <f t="shared" si="1"/>
        <v>Leopard-214985</v>
      </c>
      <c r="E25" t="str">
        <f t="shared" si="2"/>
        <v>A01</v>
      </c>
    </row>
    <row r="26" spans="1:5" x14ac:dyDescent="0.25">
      <c r="A26" t="str">
        <f t="shared" si="0"/>
        <v>G7</v>
      </c>
      <c r="B26" t="s">
        <v>137</v>
      </c>
      <c r="C26" t="s">
        <v>138</v>
      </c>
      <c r="D26" t="str">
        <f t="shared" si="1"/>
        <v>Leopard-214985</v>
      </c>
      <c r="E26" t="str">
        <f t="shared" si="2"/>
        <v>A01</v>
      </c>
    </row>
    <row r="27" spans="1:5" x14ac:dyDescent="0.25">
      <c r="A27" t="str">
        <f t="shared" si="0"/>
        <v>G7</v>
      </c>
      <c r="B27" t="s">
        <v>139</v>
      </c>
      <c r="C27" t="s">
        <v>140</v>
      </c>
      <c r="D27" t="str">
        <f t="shared" si="1"/>
        <v>Leopard-214985</v>
      </c>
      <c r="E27" t="str">
        <f t="shared" si="2"/>
        <v>A01</v>
      </c>
    </row>
    <row r="28" spans="1:5" x14ac:dyDescent="0.25">
      <c r="A28" t="str">
        <f t="shared" si="0"/>
        <v>G7</v>
      </c>
      <c r="B28" t="s">
        <v>141</v>
      </c>
      <c r="C28" t="s">
        <v>142</v>
      </c>
      <c r="D28" t="str">
        <f t="shared" si="1"/>
        <v>Leopard-214985</v>
      </c>
      <c r="E28" t="str">
        <f t="shared" si="2"/>
        <v>A01</v>
      </c>
    </row>
    <row r="29" spans="1:5" x14ac:dyDescent="0.25">
      <c r="A29" t="str">
        <f t="shared" si="0"/>
        <v>G7</v>
      </c>
      <c r="B29" t="s">
        <v>143</v>
      </c>
      <c r="C29" t="s">
        <v>144</v>
      </c>
      <c r="D29" t="str">
        <f t="shared" si="1"/>
        <v>Leopard-214985</v>
      </c>
      <c r="E29" t="str">
        <f t="shared" si="2"/>
        <v>A01</v>
      </c>
    </row>
    <row r="30" spans="1:5" x14ac:dyDescent="0.25">
      <c r="A30" t="str">
        <f t="shared" si="0"/>
        <v>G7</v>
      </c>
      <c r="B30" t="s">
        <v>145</v>
      </c>
      <c r="C30" t="s">
        <v>146</v>
      </c>
      <c r="D30" t="str">
        <f t="shared" si="1"/>
        <v>Leopard-214985</v>
      </c>
      <c r="E30" t="str">
        <f t="shared" si="2"/>
        <v>A01</v>
      </c>
    </row>
    <row r="31" spans="1:5" x14ac:dyDescent="0.25">
      <c r="A31" t="str">
        <f t="shared" si="0"/>
        <v>G7</v>
      </c>
      <c r="B31" t="s">
        <v>147</v>
      </c>
      <c r="C31" t="s">
        <v>148</v>
      </c>
      <c r="D31" t="str">
        <f t="shared" si="1"/>
        <v>Leopard-214985</v>
      </c>
      <c r="E31" t="str">
        <f t="shared" si="2"/>
        <v>A01</v>
      </c>
    </row>
    <row r="32" spans="1:5" x14ac:dyDescent="0.25">
      <c r="A32" t="str">
        <f t="shared" si="0"/>
        <v>G7</v>
      </c>
      <c r="B32" t="s">
        <v>149</v>
      </c>
      <c r="C32" t="s">
        <v>150</v>
      </c>
      <c r="D32" t="str">
        <f t="shared" si="1"/>
        <v>Leopard-214985</v>
      </c>
      <c r="E32" t="str">
        <f t="shared" si="2"/>
        <v>A01</v>
      </c>
    </row>
    <row r="33" spans="1:5" x14ac:dyDescent="0.25">
      <c r="A33" t="str">
        <f t="shared" si="0"/>
        <v>G7</v>
      </c>
      <c r="B33" t="s">
        <v>151</v>
      </c>
      <c r="C33" t="s">
        <v>152</v>
      </c>
      <c r="D33" t="str">
        <f t="shared" si="1"/>
        <v>Leopard-214985</v>
      </c>
      <c r="E33" t="str">
        <f t="shared" si="2"/>
        <v>A01</v>
      </c>
    </row>
    <row r="34" spans="1:5" x14ac:dyDescent="0.25">
      <c r="A34" t="str">
        <f t="shared" si="0"/>
        <v>G7</v>
      </c>
      <c r="B34" t="s">
        <v>153</v>
      </c>
      <c r="C34" t="s">
        <v>154</v>
      </c>
      <c r="D34" t="str">
        <f t="shared" si="1"/>
        <v>Leopard-214985</v>
      </c>
      <c r="E34" t="str">
        <f t="shared" si="2"/>
        <v>A01</v>
      </c>
    </row>
    <row r="35" spans="1:5" x14ac:dyDescent="0.25">
      <c r="A35" t="str">
        <f t="shared" si="0"/>
        <v>G7</v>
      </c>
      <c r="B35" t="s">
        <v>155</v>
      </c>
      <c r="C35" t="s">
        <v>156</v>
      </c>
      <c r="D35" t="str">
        <f t="shared" si="1"/>
        <v>Leopard-214985</v>
      </c>
      <c r="E35" t="str">
        <f t="shared" si="2"/>
        <v>A01</v>
      </c>
    </row>
    <row r="36" spans="1:5" x14ac:dyDescent="0.25">
      <c r="A36" t="str">
        <f t="shared" si="0"/>
        <v>G7</v>
      </c>
      <c r="B36" t="s">
        <v>157</v>
      </c>
      <c r="C36" t="s">
        <v>158</v>
      </c>
      <c r="D36" t="str">
        <f t="shared" si="1"/>
        <v>Leopard-214985</v>
      </c>
      <c r="E36" t="str">
        <f t="shared" si="2"/>
        <v>A01</v>
      </c>
    </row>
    <row r="37" spans="1:5" x14ac:dyDescent="0.25">
      <c r="A37" t="str">
        <f t="shared" si="0"/>
        <v>G7</v>
      </c>
      <c r="B37" t="s">
        <v>159</v>
      </c>
      <c r="C37" t="s">
        <v>160</v>
      </c>
      <c r="D37" t="str">
        <f t="shared" si="1"/>
        <v>Leopard-214985</v>
      </c>
      <c r="E37" t="str">
        <f t="shared" si="2"/>
        <v>A01</v>
      </c>
    </row>
    <row r="38" spans="1:5" x14ac:dyDescent="0.25">
      <c r="A38" t="str">
        <f t="shared" si="0"/>
        <v>G7</v>
      </c>
      <c r="B38" t="s">
        <v>161</v>
      </c>
      <c r="C38" t="s">
        <v>162</v>
      </c>
      <c r="D38" t="str">
        <f t="shared" si="1"/>
        <v>Leopard-214985</v>
      </c>
      <c r="E38" t="str">
        <f t="shared" si="2"/>
        <v>A01</v>
      </c>
    </row>
    <row r="39" spans="1:5" x14ac:dyDescent="0.25">
      <c r="A39" t="str">
        <f t="shared" si="0"/>
        <v>G7</v>
      </c>
      <c r="B39" t="s">
        <v>163</v>
      </c>
      <c r="C39" t="s">
        <v>164</v>
      </c>
      <c r="D39" t="str">
        <f t="shared" si="1"/>
        <v>Leopard-214985</v>
      </c>
      <c r="E39" t="str">
        <f t="shared" si="2"/>
        <v>A01</v>
      </c>
    </row>
    <row r="40" spans="1:5" x14ac:dyDescent="0.25">
      <c r="A40" t="str">
        <f t="shared" si="0"/>
        <v>G7</v>
      </c>
      <c r="B40" t="s">
        <v>165</v>
      </c>
      <c r="C40" t="s">
        <v>166</v>
      </c>
      <c r="D40" t="str">
        <f t="shared" si="1"/>
        <v>Leopard-214985</v>
      </c>
      <c r="E40" t="str">
        <f t="shared" si="2"/>
        <v>A01</v>
      </c>
    </row>
    <row r="41" spans="1:5" x14ac:dyDescent="0.25">
      <c r="A41" t="str">
        <f t="shared" si="0"/>
        <v>G7</v>
      </c>
      <c r="B41" t="s">
        <v>167</v>
      </c>
      <c r="C41" t="s">
        <v>168</v>
      </c>
      <c r="D41" t="str">
        <f t="shared" si="1"/>
        <v>Leopard-214985</v>
      </c>
      <c r="E41" t="str">
        <f t="shared" si="2"/>
        <v>A01</v>
      </c>
    </row>
    <row r="42" spans="1:5" x14ac:dyDescent="0.25">
      <c r="A42" t="str">
        <f t="shared" si="0"/>
        <v>G7</v>
      </c>
      <c r="B42" t="s">
        <v>169</v>
      </c>
      <c r="C42" t="s">
        <v>170</v>
      </c>
      <c r="D42" t="str">
        <f t="shared" si="1"/>
        <v>Leopard-214985</v>
      </c>
      <c r="E42" t="str">
        <f t="shared" si="2"/>
        <v>A01</v>
      </c>
    </row>
    <row r="43" spans="1:5" x14ac:dyDescent="0.25">
      <c r="A43" t="str">
        <f t="shared" si="0"/>
        <v>G7</v>
      </c>
      <c r="B43" t="s">
        <v>171</v>
      </c>
      <c r="C43" t="s">
        <v>172</v>
      </c>
      <c r="D43" t="str">
        <f t="shared" si="1"/>
        <v>Leopard-214985</v>
      </c>
      <c r="E43" t="str">
        <f t="shared" si="2"/>
        <v>A01</v>
      </c>
    </row>
    <row r="44" spans="1:5" x14ac:dyDescent="0.25">
      <c r="A44" t="str">
        <f t="shared" si="0"/>
        <v>G7</v>
      </c>
      <c r="B44" t="s">
        <v>173</v>
      </c>
      <c r="C44" t="s">
        <v>174</v>
      </c>
      <c r="D44" t="str">
        <f t="shared" si="1"/>
        <v>Leopard-214985</v>
      </c>
      <c r="E44" t="str">
        <f t="shared" si="2"/>
        <v>A01</v>
      </c>
    </row>
    <row r="45" spans="1:5" x14ac:dyDescent="0.25">
      <c r="A45" t="str">
        <f t="shared" si="0"/>
        <v>G7</v>
      </c>
      <c r="B45" t="s">
        <v>175</v>
      </c>
      <c r="C45" t="s">
        <v>176</v>
      </c>
      <c r="D45" t="str">
        <f t="shared" si="1"/>
        <v>Leopard-214985</v>
      </c>
      <c r="E45" t="str">
        <f t="shared" si="2"/>
        <v>A01</v>
      </c>
    </row>
    <row r="46" spans="1:5" x14ac:dyDescent="0.25">
      <c r="A46" t="str">
        <f t="shared" si="0"/>
        <v>G7</v>
      </c>
      <c r="B46" t="s">
        <v>177</v>
      </c>
      <c r="C46" t="s">
        <v>178</v>
      </c>
      <c r="D46" t="str">
        <f t="shared" si="1"/>
        <v>Leopard-214985</v>
      </c>
      <c r="E46" t="str">
        <f t="shared" si="2"/>
        <v>A01</v>
      </c>
    </row>
    <row r="47" spans="1:5" x14ac:dyDescent="0.25">
      <c r="A47" t="str">
        <f t="shared" si="0"/>
        <v>G7</v>
      </c>
      <c r="B47" t="s">
        <v>179</v>
      </c>
      <c r="C47" t="s">
        <v>180</v>
      </c>
      <c r="D47" t="str">
        <f t="shared" si="1"/>
        <v>Leopard-214985</v>
      </c>
      <c r="E47" t="str">
        <f t="shared" si="2"/>
        <v>A01</v>
      </c>
    </row>
    <row r="48" spans="1:5" x14ac:dyDescent="0.25">
      <c r="A48" t="str">
        <f t="shared" si="0"/>
        <v>G7</v>
      </c>
      <c r="B48" t="s">
        <v>181</v>
      </c>
      <c r="C48" t="s">
        <v>182</v>
      </c>
      <c r="D48" t="str">
        <f t="shared" si="1"/>
        <v>Leopard-214985</v>
      </c>
      <c r="E48" t="str">
        <f t="shared" si="2"/>
        <v>A01</v>
      </c>
    </row>
    <row r="49" spans="1:5" x14ac:dyDescent="0.25">
      <c r="A49" t="str">
        <f t="shared" si="0"/>
        <v>G7</v>
      </c>
      <c r="B49" t="s">
        <v>183</v>
      </c>
      <c r="C49" t="s">
        <v>184</v>
      </c>
      <c r="D49" t="str">
        <f t="shared" si="1"/>
        <v>Leopard-214985</v>
      </c>
      <c r="E49" t="str">
        <f t="shared" si="2"/>
        <v>A01</v>
      </c>
    </row>
    <row r="50" spans="1:5" x14ac:dyDescent="0.25">
      <c r="A50" t="str">
        <f t="shared" si="0"/>
        <v>G7</v>
      </c>
      <c r="B50" t="s">
        <v>185</v>
      </c>
      <c r="C50" t="s">
        <v>186</v>
      </c>
      <c r="D50" t="str">
        <f t="shared" si="1"/>
        <v>Leopard-214985</v>
      </c>
      <c r="E50" t="str">
        <f t="shared" si="2"/>
        <v>A01</v>
      </c>
    </row>
    <row r="51" spans="1:5" x14ac:dyDescent="0.25">
      <c r="A51" t="str">
        <f t="shared" si="0"/>
        <v>G7</v>
      </c>
      <c r="B51" t="s">
        <v>187</v>
      </c>
      <c r="C51" t="s">
        <v>188</v>
      </c>
      <c r="D51" t="str">
        <f t="shared" si="1"/>
        <v>Leopard-214985</v>
      </c>
      <c r="E51" t="str">
        <f t="shared" si="2"/>
        <v>A01</v>
      </c>
    </row>
    <row r="52" spans="1:5" x14ac:dyDescent="0.25">
      <c r="A52" t="str">
        <f t="shared" si="0"/>
        <v>G7</v>
      </c>
      <c r="B52" t="s">
        <v>189</v>
      </c>
      <c r="C52" t="s">
        <v>190</v>
      </c>
      <c r="D52" t="str">
        <f t="shared" si="1"/>
        <v>Leopard-214985</v>
      </c>
      <c r="E52" t="str">
        <f t="shared" si="2"/>
        <v>A01</v>
      </c>
    </row>
    <row r="53" spans="1:5" x14ac:dyDescent="0.25">
      <c r="A53" t="str">
        <f t="shared" si="0"/>
        <v>G7</v>
      </c>
      <c r="B53" t="s">
        <v>191</v>
      </c>
      <c r="C53" t="s">
        <v>192</v>
      </c>
      <c r="D53" t="str">
        <f t="shared" si="1"/>
        <v>Leopard-214985</v>
      </c>
      <c r="E53" t="str">
        <f t="shared" si="2"/>
        <v>A01</v>
      </c>
    </row>
    <row r="54" spans="1:5" x14ac:dyDescent="0.25">
      <c r="A54" t="str">
        <f t="shared" si="0"/>
        <v>G7</v>
      </c>
      <c r="B54" t="s">
        <v>193</v>
      </c>
      <c r="C54" t="s">
        <v>194</v>
      </c>
      <c r="D54" t="str">
        <f t="shared" si="1"/>
        <v>Leopard-214985</v>
      </c>
      <c r="E54" t="str">
        <f t="shared" si="2"/>
        <v>A01</v>
      </c>
    </row>
    <row r="55" spans="1:5" x14ac:dyDescent="0.25">
      <c r="A55" t="str">
        <f t="shared" si="0"/>
        <v>G7</v>
      </c>
      <c r="B55" t="s">
        <v>195</v>
      </c>
      <c r="C55" t="s">
        <v>196</v>
      </c>
      <c r="D55" t="str">
        <f t="shared" si="1"/>
        <v>Leopard-214985</v>
      </c>
      <c r="E55" t="str">
        <f t="shared" si="2"/>
        <v>A01</v>
      </c>
    </row>
    <row r="56" spans="1:5" x14ac:dyDescent="0.25">
      <c r="A56" t="str">
        <f t="shared" si="0"/>
        <v>G7</v>
      </c>
      <c r="B56" t="s">
        <v>197</v>
      </c>
      <c r="C56" t="s">
        <v>198</v>
      </c>
      <c r="D56" t="str">
        <f t="shared" si="1"/>
        <v>Leopard-214985</v>
      </c>
      <c r="E56" t="str">
        <f t="shared" si="2"/>
        <v>A01</v>
      </c>
    </row>
    <row r="57" spans="1:5" x14ac:dyDescent="0.25">
      <c r="A57" t="str">
        <f t="shared" si="0"/>
        <v>G7</v>
      </c>
      <c r="B57" t="s">
        <v>199</v>
      </c>
      <c r="C57" t="s">
        <v>200</v>
      </c>
      <c r="D57" t="str">
        <f t="shared" si="1"/>
        <v>Leopard-214985</v>
      </c>
      <c r="E57" t="str">
        <f t="shared" si="2"/>
        <v>A01</v>
      </c>
    </row>
    <row r="58" spans="1:5" x14ac:dyDescent="0.25">
      <c r="A58" t="str">
        <f t="shared" si="0"/>
        <v>G7</v>
      </c>
      <c r="B58" t="s">
        <v>201</v>
      </c>
      <c r="C58" t="s">
        <v>202</v>
      </c>
      <c r="D58" t="str">
        <f t="shared" si="1"/>
        <v>Leopard-214985</v>
      </c>
      <c r="E58" t="str">
        <f t="shared" si="2"/>
        <v>A01</v>
      </c>
    </row>
    <row r="59" spans="1:5" x14ac:dyDescent="0.25">
      <c r="A59" t="str">
        <f t="shared" si="0"/>
        <v>G7</v>
      </c>
      <c r="B59" t="s">
        <v>203</v>
      </c>
      <c r="C59" t="s">
        <v>204</v>
      </c>
      <c r="D59" t="str">
        <f t="shared" si="1"/>
        <v>Leopard-214985</v>
      </c>
      <c r="E59" t="str">
        <f t="shared" si="2"/>
        <v>A01</v>
      </c>
    </row>
    <row r="60" spans="1:5" x14ac:dyDescent="0.25">
      <c r="A60" t="str">
        <f t="shared" si="0"/>
        <v>G7</v>
      </c>
      <c r="B60" t="s">
        <v>205</v>
      </c>
      <c r="C60" t="s">
        <v>206</v>
      </c>
      <c r="D60" t="str">
        <f t="shared" si="1"/>
        <v>Leopard-214985</v>
      </c>
      <c r="E60" t="str">
        <f t="shared" si="2"/>
        <v>A01</v>
      </c>
    </row>
    <row r="61" spans="1:5" x14ac:dyDescent="0.25">
      <c r="A61" t="str">
        <f t="shared" si="0"/>
        <v>G7</v>
      </c>
      <c r="B61" t="s">
        <v>207</v>
      </c>
      <c r="C61" t="s">
        <v>208</v>
      </c>
      <c r="D61" t="str">
        <f t="shared" si="1"/>
        <v>Leopard-214985</v>
      </c>
      <c r="E61" t="str">
        <f t="shared" si="2"/>
        <v>A01</v>
      </c>
    </row>
    <row r="62" spans="1:5" x14ac:dyDescent="0.25">
      <c r="A62" t="str">
        <f t="shared" si="0"/>
        <v>G7</v>
      </c>
      <c r="B62" t="s">
        <v>209</v>
      </c>
      <c r="C62" t="s">
        <v>210</v>
      </c>
      <c r="D62" t="str">
        <f t="shared" si="1"/>
        <v>Leopard-214985</v>
      </c>
      <c r="E62" t="str">
        <f t="shared" si="2"/>
        <v>A01</v>
      </c>
    </row>
    <row r="63" spans="1:5" x14ac:dyDescent="0.25">
      <c r="A63" t="str">
        <f t="shared" si="0"/>
        <v>G7</v>
      </c>
      <c r="B63" t="s">
        <v>211</v>
      </c>
      <c r="C63" t="s">
        <v>212</v>
      </c>
      <c r="D63" t="str">
        <f t="shared" si="1"/>
        <v>Leopard-214985</v>
      </c>
      <c r="E63" t="str">
        <f t="shared" si="2"/>
        <v>A01</v>
      </c>
    </row>
    <row r="64" spans="1:5" x14ac:dyDescent="0.25">
      <c r="A64" t="str">
        <f t="shared" si="0"/>
        <v>G7</v>
      </c>
      <c r="B64" t="s">
        <v>213</v>
      </c>
      <c r="C64" t="s">
        <v>214</v>
      </c>
      <c r="D64" t="str">
        <f t="shared" si="1"/>
        <v>Leopard-214985</v>
      </c>
      <c r="E64" t="str">
        <f t="shared" si="2"/>
        <v>A01</v>
      </c>
    </row>
    <row r="65" spans="1:5" x14ac:dyDescent="0.25">
      <c r="A65" t="str">
        <f t="shared" si="0"/>
        <v>G7</v>
      </c>
      <c r="B65" t="s">
        <v>215</v>
      </c>
      <c r="C65" t="s">
        <v>216</v>
      </c>
      <c r="D65" t="str">
        <f t="shared" si="1"/>
        <v>Leopard-214985</v>
      </c>
      <c r="E65" t="str">
        <f t="shared" si="2"/>
        <v>A01</v>
      </c>
    </row>
    <row r="66" spans="1:5" x14ac:dyDescent="0.25">
      <c r="A66" t="str">
        <f t="shared" si="0"/>
        <v>G7</v>
      </c>
      <c r="B66" t="s">
        <v>217</v>
      </c>
      <c r="C66" t="s">
        <v>218</v>
      </c>
      <c r="D66" t="str">
        <f t="shared" si="1"/>
        <v>Leopard-214985</v>
      </c>
      <c r="E66" t="str">
        <f t="shared" si="2"/>
        <v>A01</v>
      </c>
    </row>
    <row r="67" spans="1:5" x14ac:dyDescent="0.25">
      <c r="A67" t="str">
        <f t="shared" ref="A67:A130" si="3">IF(TRIM(B67)="","", "G7")</f>
        <v>G7</v>
      </c>
      <c r="B67" t="s">
        <v>219</v>
      </c>
      <c r="C67" t="s">
        <v>220</v>
      </c>
      <c r="D67" t="str">
        <f t="shared" ref="D67:D130" si="4">IF(TRIM(B67)="","", "Leopard-214985")</f>
        <v>Leopard-214985</v>
      </c>
      <c r="E67" t="str">
        <f t="shared" ref="E67:E130" si="5">IF(TRIM(B67)="","", "A01")</f>
        <v>A01</v>
      </c>
    </row>
    <row r="68" spans="1:5" x14ac:dyDescent="0.25">
      <c r="A68" t="str">
        <f t="shared" si="3"/>
        <v>G7</v>
      </c>
      <c r="B68" t="s">
        <v>221</v>
      </c>
      <c r="C68" t="s">
        <v>222</v>
      </c>
      <c r="D68" t="str">
        <f t="shared" si="4"/>
        <v>Leopard-214985</v>
      </c>
      <c r="E68" t="str">
        <f t="shared" si="5"/>
        <v>A01</v>
      </c>
    </row>
    <row r="69" spans="1:5" x14ac:dyDescent="0.25">
      <c r="A69" t="str">
        <f t="shared" si="3"/>
        <v>G7</v>
      </c>
      <c r="B69" t="s">
        <v>223</v>
      </c>
      <c r="C69" t="s">
        <v>224</v>
      </c>
      <c r="D69" t="str">
        <f t="shared" si="4"/>
        <v>Leopard-214985</v>
      </c>
      <c r="E69" t="str">
        <f t="shared" si="5"/>
        <v>A01</v>
      </c>
    </row>
    <row r="70" spans="1:5" x14ac:dyDescent="0.25">
      <c r="A70" t="str">
        <f t="shared" si="3"/>
        <v>G7</v>
      </c>
      <c r="B70" t="s">
        <v>225</v>
      </c>
      <c r="C70" t="s">
        <v>226</v>
      </c>
      <c r="D70" t="str">
        <f t="shared" si="4"/>
        <v>Leopard-214985</v>
      </c>
      <c r="E70" t="str">
        <f t="shared" si="5"/>
        <v>A01</v>
      </c>
    </row>
    <row r="71" spans="1:5" x14ac:dyDescent="0.25">
      <c r="A71" t="str">
        <f t="shared" si="3"/>
        <v>G7</v>
      </c>
      <c r="B71" t="s">
        <v>227</v>
      </c>
      <c r="C71" t="s">
        <v>228</v>
      </c>
      <c r="D71" t="str">
        <f t="shared" si="4"/>
        <v>Leopard-214985</v>
      </c>
      <c r="E71" t="str">
        <f t="shared" si="5"/>
        <v>A01</v>
      </c>
    </row>
    <row r="72" spans="1:5" x14ac:dyDescent="0.25">
      <c r="A72" t="str">
        <f t="shared" si="3"/>
        <v>G7</v>
      </c>
      <c r="B72" t="s">
        <v>229</v>
      </c>
      <c r="C72" t="s">
        <v>230</v>
      </c>
      <c r="D72" t="str">
        <f t="shared" si="4"/>
        <v>Leopard-214985</v>
      </c>
      <c r="E72" t="str">
        <f t="shared" si="5"/>
        <v>A01</v>
      </c>
    </row>
    <row r="73" spans="1:5" x14ac:dyDescent="0.25">
      <c r="A73" t="str">
        <f t="shared" si="3"/>
        <v>G7</v>
      </c>
      <c r="B73" t="s">
        <v>231</v>
      </c>
      <c r="C73" t="s">
        <v>232</v>
      </c>
      <c r="D73" t="str">
        <f t="shared" si="4"/>
        <v>Leopard-214985</v>
      </c>
      <c r="E73" t="str">
        <f t="shared" si="5"/>
        <v>A01</v>
      </c>
    </row>
    <row r="74" spans="1:5" x14ac:dyDescent="0.25">
      <c r="A74" t="str">
        <f t="shared" si="3"/>
        <v>G7</v>
      </c>
      <c r="B74" t="s">
        <v>233</v>
      </c>
      <c r="C74" t="s">
        <v>234</v>
      </c>
      <c r="D74" t="str">
        <f t="shared" si="4"/>
        <v>Leopard-214985</v>
      </c>
      <c r="E74" t="str">
        <f t="shared" si="5"/>
        <v>A01</v>
      </c>
    </row>
    <row r="75" spans="1:5" x14ac:dyDescent="0.25">
      <c r="A75" t="str">
        <f t="shared" si="3"/>
        <v>G7</v>
      </c>
      <c r="B75" t="s">
        <v>235</v>
      </c>
      <c r="C75" t="s">
        <v>236</v>
      </c>
      <c r="D75" t="str">
        <f t="shared" si="4"/>
        <v>Leopard-214985</v>
      </c>
      <c r="E75" t="str">
        <f t="shared" si="5"/>
        <v>A01</v>
      </c>
    </row>
    <row r="76" spans="1:5" x14ac:dyDescent="0.25">
      <c r="A76" t="str">
        <f t="shared" si="3"/>
        <v>G7</v>
      </c>
      <c r="B76" t="s">
        <v>237</v>
      </c>
      <c r="C76" t="s">
        <v>238</v>
      </c>
      <c r="D76" t="str">
        <f t="shared" si="4"/>
        <v>Leopard-214985</v>
      </c>
      <c r="E76" t="str">
        <f t="shared" si="5"/>
        <v>A01</v>
      </c>
    </row>
    <row r="77" spans="1:5" x14ac:dyDescent="0.25">
      <c r="A77" t="str">
        <f t="shared" si="3"/>
        <v>G7</v>
      </c>
      <c r="B77" t="s">
        <v>239</v>
      </c>
      <c r="C77" t="s">
        <v>240</v>
      </c>
      <c r="D77" t="str">
        <f t="shared" si="4"/>
        <v>Leopard-214985</v>
      </c>
      <c r="E77" t="str">
        <f t="shared" si="5"/>
        <v>A01</v>
      </c>
    </row>
    <row r="78" spans="1:5" x14ac:dyDescent="0.25">
      <c r="A78" t="str">
        <f t="shared" si="3"/>
        <v>G7</v>
      </c>
      <c r="B78" t="s">
        <v>241</v>
      </c>
      <c r="C78" t="s">
        <v>242</v>
      </c>
      <c r="D78" t="str">
        <f t="shared" si="4"/>
        <v>Leopard-214985</v>
      </c>
      <c r="E78" t="str">
        <f t="shared" si="5"/>
        <v>A01</v>
      </c>
    </row>
    <row r="79" spans="1:5" x14ac:dyDescent="0.25">
      <c r="A79" t="str">
        <f t="shared" si="3"/>
        <v>G7</v>
      </c>
      <c r="B79" t="s">
        <v>243</v>
      </c>
      <c r="C79" t="s">
        <v>244</v>
      </c>
      <c r="D79" t="str">
        <f t="shared" si="4"/>
        <v>Leopard-214985</v>
      </c>
      <c r="E79" t="str">
        <f t="shared" si="5"/>
        <v>A01</v>
      </c>
    </row>
    <row r="80" spans="1:5" x14ac:dyDescent="0.25">
      <c r="A80" t="str">
        <f t="shared" si="3"/>
        <v>G7</v>
      </c>
      <c r="B80" t="s">
        <v>245</v>
      </c>
      <c r="C80" t="s">
        <v>246</v>
      </c>
      <c r="D80" t="str">
        <f t="shared" si="4"/>
        <v>Leopard-214985</v>
      </c>
      <c r="E80" t="str">
        <f t="shared" si="5"/>
        <v>A01</v>
      </c>
    </row>
    <row r="81" spans="1:5" x14ac:dyDescent="0.25">
      <c r="A81" t="str">
        <f t="shared" si="3"/>
        <v>G7</v>
      </c>
      <c r="B81" t="s">
        <v>247</v>
      </c>
      <c r="C81" t="s">
        <v>248</v>
      </c>
      <c r="D81" t="str">
        <f t="shared" si="4"/>
        <v>Leopard-214985</v>
      </c>
      <c r="E81" t="str">
        <f t="shared" si="5"/>
        <v>A01</v>
      </c>
    </row>
    <row r="82" spans="1:5" x14ac:dyDescent="0.25">
      <c r="A82" t="str">
        <f t="shared" si="3"/>
        <v>G7</v>
      </c>
      <c r="B82" t="s">
        <v>249</v>
      </c>
      <c r="C82" t="s">
        <v>250</v>
      </c>
      <c r="D82" t="str">
        <f t="shared" si="4"/>
        <v>Leopard-214985</v>
      </c>
      <c r="E82" t="str">
        <f t="shared" si="5"/>
        <v>A01</v>
      </c>
    </row>
    <row r="83" spans="1:5" x14ac:dyDescent="0.25">
      <c r="A83" t="str">
        <f t="shared" si="3"/>
        <v>G7</v>
      </c>
      <c r="B83" t="s">
        <v>251</v>
      </c>
      <c r="C83" t="s">
        <v>252</v>
      </c>
      <c r="D83" t="str">
        <f t="shared" si="4"/>
        <v>Leopard-214985</v>
      </c>
      <c r="E83" t="str">
        <f t="shared" si="5"/>
        <v>A01</v>
      </c>
    </row>
    <row r="84" spans="1:5" x14ac:dyDescent="0.25">
      <c r="A84" t="str">
        <f t="shared" si="3"/>
        <v>G7</v>
      </c>
      <c r="B84" t="s">
        <v>253</v>
      </c>
      <c r="C84" t="s">
        <v>254</v>
      </c>
      <c r="D84" t="str">
        <f t="shared" si="4"/>
        <v>Leopard-214985</v>
      </c>
      <c r="E84" t="str">
        <f t="shared" si="5"/>
        <v>A01</v>
      </c>
    </row>
    <row r="85" spans="1:5" x14ac:dyDescent="0.25">
      <c r="A85" t="str">
        <f t="shared" si="3"/>
        <v>G7</v>
      </c>
      <c r="B85" t="s">
        <v>255</v>
      </c>
      <c r="C85" t="s">
        <v>256</v>
      </c>
      <c r="D85" t="str">
        <f t="shared" si="4"/>
        <v>Leopard-214985</v>
      </c>
      <c r="E85" t="str">
        <f t="shared" si="5"/>
        <v>A01</v>
      </c>
    </row>
    <row r="86" spans="1:5" x14ac:dyDescent="0.25">
      <c r="A86" t="str">
        <f t="shared" si="3"/>
        <v>G7</v>
      </c>
      <c r="B86" t="s">
        <v>257</v>
      </c>
      <c r="C86" t="s">
        <v>258</v>
      </c>
      <c r="D86" t="str">
        <f t="shared" si="4"/>
        <v>Leopard-214985</v>
      </c>
      <c r="E86" t="str">
        <f t="shared" si="5"/>
        <v>A01</v>
      </c>
    </row>
    <row r="87" spans="1:5" x14ac:dyDescent="0.25">
      <c r="A87" t="str">
        <f t="shared" si="3"/>
        <v>G7</v>
      </c>
      <c r="B87" t="s">
        <v>259</v>
      </c>
      <c r="C87" t="s">
        <v>260</v>
      </c>
      <c r="D87" t="str">
        <f t="shared" si="4"/>
        <v>Leopard-214985</v>
      </c>
      <c r="E87" t="str">
        <f t="shared" si="5"/>
        <v>A01</v>
      </c>
    </row>
    <row r="88" spans="1:5" x14ac:dyDescent="0.25">
      <c r="A88" t="str">
        <f t="shared" si="3"/>
        <v>G7</v>
      </c>
      <c r="B88" t="s">
        <v>261</v>
      </c>
      <c r="C88" t="s">
        <v>262</v>
      </c>
      <c r="D88" t="str">
        <f t="shared" si="4"/>
        <v>Leopard-214985</v>
      </c>
      <c r="E88" t="str">
        <f t="shared" si="5"/>
        <v>A01</v>
      </c>
    </row>
    <row r="89" spans="1:5" x14ac:dyDescent="0.25">
      <c r="A89" t="str">
        <f t="shared" si="3"/>
        <v>G7</v>
      </c>
      <c r="B89" t="s">
        <v>263</v>
      </c>
      <c r="C89" t="s">
        <v>264</v>
      </c>
      <c r="D89" t="str">
        <f t="shared" si="4"/>
        <v>Leopard-214985</v>
      </c>
      <c r="E89" t="str">
        <f t="shared" si="5"/>
        <v>A01</v>
      </c>
    </row>
    <row r="90" spans="1:5" x14ac:dyDescent="0.25">
      <c r="A90" t="str">
        <f t="shared" si="3"/>
        <v>G7</v>
      </c>
      <c r="B90" t="s">
        <v>265</v>
      </c>
      <c r="C90" t="s">
        <v>266</v>
      </c>
      <c r="D90" t="str">
        <f t="shared" si="4"/>
        <v>Leopard-214985</v>
      </c>
      <c r="E90" t="str">
        <f t="shared" si="5"/>
        <v>A01</v>
      </c>
    </row>
    <row r="91" spans="1:5" x14ac:dyDescent="0.25">
      <c r="A91" t="str">
        <f t="shared" si="3"/>
        <v>G7</v>
      </c>
      <c r="B91" t="s">
        <v>267</v>
      </c>
      <c r="C91" t="s">
        <v>268</v>
      </c>
      <c r="D91" t="str">
        <f t="shared" si="4"/>
        <v>Leopard-214985</v>
      </c>
      <c r="E91" t="str">
        <f t="shared" si="5"/>
        <v>A01</v>
      </c>
    </row>
    <row r="92" spans="1:5" x14ac:dyDescent="0.25">
      <c r="A92" t="str">
        <f t="shared" si="3"/>
        <v>G7</v>
      </c>
      <c r="B92" t="s">
        <v>269</v>
      </c>
      <c r="C92" t="s">
        <v>270</v>
      </c>
      <c r="D92" t="str">
        <f t="shared" si="4"/>
        <v>Leopard-214985</v>
      </c>
      <c r="E92" t="str">
        <f t="shared" si="5"/>
        <v>A01</v>
      </c>
    </row>
    <row r="93" spans="1:5" x14ac:dyDescent="0.25">
      <c r="A93" t="str">
        <f t="shared" si="3"/>
        <v>G7</v>
      </c>
      <c r="B93" t="s">
        <v>271</v>
      </c>
      <c r="C93" t="s">
        <v>272</v>
      </c>
      <c r="D93" t="str">
        <f t="shared" si="4"/>
        <v>Leopard-214985</v>
      </c>
      <c r="E93" t="str">
        <f t="shared" si="5"/>
        <v>A01</v>
      </c>
    </row>
    <row r="94" spans="1:5" x14ac:dyDescent="0.25">
      <c r="A94" t="str">
        <f t="shared" si="3"/>
        <v>G7</v>
      </c>
      <c r="B94" t="s">
        <v>273</v>
      </c>
      <c r="C94" t="s">
        <v>274</v>
      </c>
      <c r="D94" t="str">
        <f t="shared" si="4"/>
        <v>Leopard-214985</v>
      </c>
      <c r="E94" t="str">
        <f t="shared" si="5"/>
        <v>A01</v>
      </c>
    </row>
    <row r="95" spans="1:5" x14ac:dyDescent="0.25">
      <c r="A95" t="str">
        <f t="shared" si="3"/>
        <v>G7</v>
      </c>
      <c r="B95" t="s">
        <v>275</v>
      </c>
      <c r="C95" t="s">
        <v>276</v>
      </c>
      <c r="D95" t="str">
        <f t="shared" si="4"/>
        <v>Leopard-214985</v>
      </c>
      <c r="E95" t="str">
        <f t="shared" si="5"/>
        <v>A01</v>
      </c>
    </row>
    <row r="96" spans="1:5" x14ac:dyDescent="0.25">
      <c r="A96" t="str">
        <f t="shared" si="3"/>
        <v>G7</v>
      </c>
      <c r="B96" t="s">
        <v>277</v>
      </c>
      <c r="C96" t="s">
        <v>278</v>
      </c>
      <c r="D96" t="str">
        <f t="shared" si="4"/>
        <v>Leopard-214985</v>
      </c>
      <c r="E96" t="str">
        <f t="shared" si="5"/>
        <v>A01</v>
      </c>
    </row>
    <row r="97" spans="1:5" x14ac:dyDescent="0.25">
      <c r="A97" t="str">
        <f t="shared" si="3"/>
        <v>G7</v>
      </c>
      <c r="B97" t="s">
        <v>279</v>
      </c>
      <c r="C97" t="s">
        <v>280</v>
      </c>
      <c r="D97" t="str">
        <f t="shared" si="4"/>
        <v>Leopard-214985</v>
      </c>
      <c r="E97" t="str">
        <f t="shared" si="5"/>
        <v>A01</v>
      </c>
    </row>
    <row r="98" spans="1:5" x14ac:dyDescent="0.25">
      <c r="A98" t="str">
        <f t="shared" si="3"/>
        <v>G7</v>
      </c>
      <c r="B98" t="s">
        <v>281</v>
      </c>
      <c r="C98" t="s">
        <v>282</v>
      </c>
      <c r="D98" t="str">
        <f t="shared" si="4"/>
        <v>Leopard-214985</v>
      </c>
      <c r="E98" t="str">
        <f t="shared" si="5"/>
        <v>A01</v>
      </c>
    </row>
    <row r="99" spans="1:5" x14ac:dyDescent="0.25">
      <c r="A99" t="str">
        <f t="shared" si="3"/>
        <v>G7</v>
      </c>
      <c r="B99" t="s">
        <v>283</v>
      </c>
      <c r="C99" t="s">
        <v>284</v>
      </c>
      <c r="D99" t="str">
        <f t="shared" si="4"/>
        <v>Leopard-214985</v>
      </c>
      <c r="E99" t="str">
        <f t="shared" si="5"/>
        <v>A01</v>
      </c>
    </row>
    <row r="100" spans="1:5" x14ac:dyDescent="0.25">
      <c r="A100" t="str">
        <f t="shared" si="3"/>
        <v>G7</v>
      </c>
      <c r="B100" t="s">
        <v>285</v>
      </c>
      <c r="C100" t="s">
        <v>286</v>
      </c>
      <c r="D100" t="str">
        <f t="shared" si="4"/>
        <v>Leopard-214985</v>
      </c>
      <c r="E100" t="str">
        <f t="shared" si="5"/>
        <v>A01</v>
      </c>
    </row>
    <row r="101" spans="1:5" x14ac:dyDescent="0.25">
      <c r="A101" t="str">
        <f t="shared" si="3"/>
        <v>G7</v>
      </c>
      <c r="B101" t="s">
        <v>287</v>
      </c>
      <c r="C101" t="s">
        <v>288</v>
      </c>
      <c r="D101" t="str">
        <f t="shared" si="4"/>
        <v>Leopard-214985</v>
      </c>
      <c r="E101" t="str">
        <f t="shared" si="5"/>
        <v>A01</v>
      </c>
    </row>
    <row r="102" spans="1:5" x14ac:dyDescent="0.25">
      <c r="A102" t="str">
        <f t="shared" si="3"/>
        <v>G7</v>
      </c>
      <c r="B102" t="s">
        <v>289</v>
      </c>
      <c r="C102" t="s">
        <v>290</v>
      </c>
      <c r="D102" t="str">
        <f t="shared" si="4"/>
        <v>Leopard-214985</v>
      </c>
      <c r="E102" t="str">
        <f t="shared" si="5"/>
        <v>A01</v>
      </c>
    </row>
    <row r="103" spans="1:5" x14ac:dyDescent="0.25">
      <c r="A103" t="str">
        <f t="shared" si="3"/>
        <v>G7</v>
      </c>
      <c r="B103" t="s">
        <v>291</v>
      </c>
      <c r="C103" t="s">
        <v>292</v>
      </c>
      <c r="D103" t="str">
        <f t="shared" si="4"/>
        <v>Leopard-214985</v>
      </c>
      <c r="E103" t="str">
        <f t="shared" si="5"/>
        <v>A01</v>
      </c>
    </row>
    <row r="104" spans="1:5" x14ac:dyDescent="0.25">
      <c r="A104" t="str">
        <f t="shared" si="3"/>
        <v>G7</v>
      </c>
      <c r="B104" t="s">
        <v>293</v>
      </c>
      <c r="C104" t="s">
        <v>294</v>
      </c>
      <c r="D104" t="str">
        <f t="shared" si="4"/>
        <v>Leopard-214985</v>
      </c>
      <c r="E104" t="str">
        <f t="shared" si="5"/>
        <v>A01</v>
      </c>
    </row>
    <row r="105" spans="1:5" x14ac:dyDescent="0.25">
      <c r="A105" t="str">
        <f t="shared" si="3"/>
        <v>G7</v>
      </c>
      <c r="B105" t="s">
        <v>295</v>
      </c>
      <c r="C105" t="s">
        <v>296</v>
      </c>
      <c r="D105" t="str">
        <f t="shared" si="4"/>
        <v>Leopard-214985</v>
      </c>
      <c r="E105" t="str">
        <f t="shared" si="5"/>
        <v>A01</v>
      </c>
    </row>
    <row r="106" spans="1:5" x14ac:dyDescent="0.25">
      <c r="A106" t="str">
        <f t="shared" si="3"/>
        <v>G7</v>
      </c>
      <c r="B106" t="s">
        <v>297</v>
      </c>
      <c r="C106" t="s">
        <v>298</v>
      </c>
      <c r="D106" t="str">
        <f t="shared" si="4"/>
        <v>Leopard-214985</v>
      </c>
      <c r="E106" t="str">
        <f t="shared" si="5"/>
        <v>A01</v>
      </c>
    </row>
    <row r="107" spans="1:5" x14ac:dyDescent="0.25">
      <c r="A107" t="str">
        <f t="shared" si="3"/>
        <v>G7</v>
      </c>
      <c r="B107" t="s">
        <v>299</v>
      </c>
      <c r="C107" t="s">
        <v>300</v>
      </c>
      <c r="D107" t="str">
        <f t="shared" si="4"/>
        <v>Leopard-214985</v>
      </c>
      <c r="E107" t="str">
        <f t="shared" si="5"/>
        <v>A01</v>
      </c>
    </row>
    <row r="108" spans="1:5" x14ac:dyDescent="0.25">
      <c r="A108" t="str">
        <f t="shared" si="3"/>
        <v>G7</v>
      </c>
      <c r="B108" t="s">
        <v>301</v>
      </c>
      <c r="C108" t="s">
        <v>302</v>
      </c>
      <c r="D108" t="str">
        <f t="shared" si="4"/>
        <v>Leopard-214985</v>
      </c>
      <c r="E108" t="str">
        <f t="shared" si="5"/>
        <v>A01</v>
      </c>
    </row>
    <row r="109" spans="1:5" x14ac:dyDescent="0.25">
      <c r="A109" t="str">
        <f t="shared" si="3"/>
        <v>G7</v>
      </c>
      <c r="B109" t="s">
        <v>303</v>
      </c>
      <c r="C109" t="s">
        <v>304</v>
      </c>
      <c r="D109" t="str">
        <f t="shared" si="4"/>
        <v>Leopard-214985</v>
      </c>
      <c r="E109" t="str">
        <f t="shared" si="5"/>
        <v>A01</v>
      </c>
    </row>
    <row r="110" spans="1:5" x14ac:dyDescent="0.25">
      <c r="A110" t="str">
        <f t="shared" si="3"/>
        <v>G7</v>
      </c>
      <c r="B110" t="s">
        <v>305</v>
      </c>
      <c r="C110" t="s">
        <v>306</v>
      </c>
      <c r="D110" t="str">
        <f t="shared" si="4"/>
        <v>Leopard-214985</v>
      </c>
      <c r="E110" t="str">
        <f t="shared" si="5"/>
        <v>A01</v>
      </c>
    </row>
    <row r="111" spans="1:5" x14ac:dyDescent="0.25">
      <c r="A111" t="str">
        <f t="shared" si="3"/>
        <v>G7</v>
      </c>
      <c r="B111" t="s">
        <v>307</v>
      </c>
      <c r="C111" t="s">
        <v>308</v>
      </c>
      <c r="D111" t="str">
        <f t="shared" si="4"/>
        <v>Leopard-214985</v>
      </c>
      <c r="E111" t="str">
        <f t="shared" si="5"/>
        <v>A01</v>
      </c>
    </row>
    <row r="112" spans="1:5" x14ac:dyDescent="0.25">
      <c r="A112" t="str">
        <f t="shared" si="3"/>
        <v>G7</v>
      </c>
      <c r="B112" t="s">
        <v>309</v>
      </c>
      <c r="C112" t="s">
        <v>310</v>
      </c>
      <c r="D112" t="str">
        <f t="shared" si="4"/>
        <v>Leopard-214985</v>
      </c>
      <c r="E112" t="str">
        <f t="shared" si="5"/>
        <v>A01</v>
      </c>
    </row>
    <row r="113" spans="1:5" x14ac:dyDescent="0.25">
      <c r="A113" t="str">
        <f t="shared" si="3"/>
        <v>G7</v>
      </c>
      <c r="B113" t="s">
        <v>311</v>
      </c>
      <c r="C113" t="s">
        <v>312</v>
      </c>
      <c r="D113" t="str">
        <f t="shared" si="4"/>
        <v>Leopard-214985</v>
      </c>
      <c r="E113" t="str">
        <f t="shared" si="5"/>
        <v>A01</v>
      </c>
    </row>
    <row r="114" spans="1:5" x14ac:dyDescent="0.25">
      <c r="A114" t="str">
        <f t="shared" si="3"/>
        <v>G7</v>
      </c>
      <c r="B114" t="s">
        <v>313</v>
      </c>
      <c r="C114" t="s">
        <v>314</v>
      </c>
      <c r="D114" t="str">
        <f t="shared" si="4"/>
        <v>Leopard-214985</v>
      </c>
      <c r="E114" t="str">
        <f t="shared" si="5"/>
        <v>A01</v>
      </c>
    </row>
    <row r="115" spans="1:5" x14ac:dyDescent="0.25">
      <c r="A115" t="str">
        <f t="shared" si="3"/>
        <v>G7</v>
      </c>
      <c r="B115" t="s">
        <v>315</v>
      </c>
      <c r="C115" t="s">
        <v>316</v>
      </c>
      <c r="D115" t="str">
        <f t="shared" si="4"/>
        <v>Leopard-214985</v>
      </c>
      <c r="E115" t="str">
        <f t="shared" si="5"/>
        <v>A01</v>
      </c>
    </row>
    <row r="116" spans="1:5" x14ac:dyDescent="0.25">
      <c r="A116" t="str">
        <f t="shared" si="3"/>
        <v>G7</v>
      </c>
      <c r="B116" t="s">
        <v>317</v>
      </c>
      <c r="C116" t="s">
        <v>318</v>
      </c>
      <c r="D116" t="str">
        <f t="shared" si="4"/>
        <v>Leopard-214985</v>
      </c>
      <c r="E116" t="str">
        <f t="shared" si="5"/>
        <v>A01</v>
      </c>
    </row>
    <row r="117" spans="1:5" x14ac:dyDescent="0.25">
      <c r="A117" t="str">
        <f t="shared" si="3"/>
        <v>G7</v>
      </c>
      <c r="B117" t="s">
        <v>319</v>
      </c>
      <c r="C117" t="s">
        <v>320</v>
      </c>
      <c r="D117" t="str">
        <f t="shared" si="4"/>
        <v>Leopard-214985</v>
      </c>
      <c r="E117" t="str">
        <f t="shared" si="5"/>
        <v>A01</v>
      </c>
    </row>
    <row r="118" spans="1:5" x14ac:dyDescent="0.25">
      <c r="A118" t="str">
        <f t="shared" si="3"/>
        <v>G7</v>
      </c>
      <c r="B118" t="s">
        <v>321</v>
      </c>
      <c r="C118" t="s">
        <v>322</v>
      </c>
      <c r="D118" t="str">
        <f t="shared" si="4"/>
        <v>Leopard-214985</v>
      </c>
      <c r="E118" t="str">
        <f t="shared" si="5"/>
        <v>A01</v>
      </c>
    </row>
    <row r="119" spans="1:5" x14ac:dyDescent="0.25">
      <c r="A119" t="str">
        <f t="shared" si="3"/>
        <v>G7</v>
      </c>
      <c r="B119" t="s">
        <v>323</v>
      </c>
      <c r="C119" t="s">
        <v>324</v>
      </c>
      <c r="D119" t="str">
        <f t="shared" si="4"/>
        <v>Leopard-214985</v>
      </c>
      <c r="E119" t="str">
        <f t="shared" si="5"/>
        <v>A01</v>
      </c>
    </row>
    <row r="120" spans="1:5" x14ac:dyDescent="0.25">
      <c r="A120" t="str">
        <f t="shared" si="3"/>
        <v>G7</v>
      </c>
      <c r="B120" t="s">
        <v>325</v>
      </c>
      <c r="C120" t="s">
        <v>326</v>
      </c>
      <c r="D120" t="str">
        <f t="shared" si="4"/>
        <v>Leopard-214985</v>
      </c>
      <c r="E120" t="str">
        <f t="shared" si="5"/>
        <v>A01</v>
      </c>
    </row>
    <row r="121" spans="1:5" x14ac:dyDescent="0.25">
      <c r="A121" t="str">
        <f t="shared" si="3"/>
        <v>G7</v>
      </c>
      <c r="B121" t="s">
        <v>327</v>
      </c>
      <c r="C121" t="s">
        <v>328</v>
      </c>
      <c r="D121" t="str">
        <f t="shared" si="4"/>
        <v>Leopard-214985</v>
      </c>
      <c r="E121" t="str">
        <f t="shared" si="5"/>
        <v>A01</v>
      </c>
    </row>
    <row r="122" spans="1:5" x14ac:dyDescent="0.25">
      <c r="A122" t="str">
        <f t="shared" si="3"/>
        <v>G7</v>
      </c>
      <c r="B122" t="s">
        <v>329</v>
      </c>
      <c r="C122" t="s">
        <v>330</v>
      </c>
      <c r="D122" t="str">
        <f t="shared" si="4"/>
        <v>Leopard-214985</v>
      </c>
      <c r="E122" t="str">
        <f t="shared" si="5"/>
        <v>A01</v>
      </c>
    </row>
    <row r="123" spans="1:5" x14ac:dyDescent="0.25">
      <c r="A123" t="str">
        <f t="shared" si="3"/>
        <v>G7</v>
      </c>
      <c r="B123" t="s">
        <v>331</v>
      </c>
      <c r="C123" t="s">
        <v>332</v>
      </c>
      <c r="D123" t="str">
        <f t="shared" si="4"/>
        <v>Leopard-214985</v>
      </c>
      <c r="E123" t="str">
        <f t="shared" si="5"/>
        <v>A01</v>
      </c>
    </row>
    <row r="124" spans="1:5" x14ac:dyDescent="0.25">
      <c r="A124" t="str">
        <f t="shared" si="3"/>
        <v>G7</v>
      </c>
      <c r="B124" t="s">
        <v>333</v>
      </c>
      <c r="C124" t="s">
        <v>334</v>
      </c>
      <c r="D124" t="str">
        <f t="shared" si="4"/>
        <v>Leopard-214985</v>
      </c>
      <c r="E124" t="str">
        <f t="shared" si="5"/>
        <v>A01</v>
      </c>
    </row>
    <row r="125" spans="1:5" x14ac:dyDescent="0.25">
      <c r="A125" t="str">
        <f t="shared" si="3"/>
        <v>G7</v>
      </c>
      <c r="B125" t="s">
        <v>335</v>
      </c>
      <c r="C125" t="s">
        <v>336</v>
      </c>
      <c r="D125" t="str">
        <f t="shared" si="4"/>
        <v>Leopard-214985</v>
      </c>
      <c r="E125" t="str">
        <f t="shared" si="5"/>
        <v>A01</v>
      </c>
    </row>
    <row r="126" spans="1:5" x14ac:dyDescent="0.25">
      <c r="A126" t="str">
        <f t="shared" si="3"/>
        <v>G7</v>
      </c>
      <c r="B126" t="s">
        <v>337</v>
      </c>
      <c r="C126" t="s">
        <v>338</v>
      </c>
      <c r="D126" t="str">
        <f t="shared" si="4"/>
        <v>Leopard-214985</v>
      </c>
      <c r="E126" t="str">
        <f t="shared" si="5"/>
        <v>A01</v>
      </c>
    </row>
    <row r="127" spans="1:5" x14ac:dyDescent="0.25">
      <c r="A127" t="str">
        <f t="shared" si="3"/>
        <v>G7</v>
      </c>
      <c r="B127" t="s">
        <v>339</v>
      </c>
      <c r="C127" t="s">
        <v>340</v>
      </c>
      <c r="D127" t="str">
        <f t="shared" si="4"/>
        <v>Leopard-214985</v>
      </c>
      <c r="E127" t="str">
        <f t="shared" si="5"/>
        <v>A01</v>
      </c>
    </row>
    <row r="128" spans="1:5" x14ac:dyDescent="0.25">
      <c r="A128" t="str">
        <f t="shared" si="3"/>
        <v>G7</v>
      </c>
      <c r="B128" t="s">
        <v>341</v>
      </c>
      <c r="C128" t="s">
        <v>342</v>
      </c>
      <c r="D128" t="str">
        <f t="shared" si="4"/>
        <v>Leopard-214985</v>
      </c>
      <c r="E128" t="str">
        <f t="shared" si="5"/>
        <v>A01</v>
      </c>
    </row>
    <row r="129" spans="1:5" x14ac:dyDescent="0.25">
      <c r="A129" t="str">
        <f t="shared" si="3"/>
        <v>G7</v>
      </c>
      <c r="B129" t="s">
        <v>343</v>
      </c>
      <c r="C129" t="s">
        <v>344</v>
      </c>
      <c r="D129" t="str">
        <f t="shared" si="4"/>
        <v>Leopard-214985</v>
      </c>
      <c r="E129" t="str">
        <f t="shared" si="5"/>
        <v>A01</v>
      </c>
    </row>
    <row r="130" spans="1:5" x14ac:dyDescent="0.25">
      <c r="A130" t="str">
        <f t="shared" si="3"/>
        <v>G7</v>
      </c>
      <c r="B130" t="s">
        <v>345</v>
      </c>
      <c r="C130" t="s">
        <v>346</v>
      </c>
      <c r="D130" t="str">
        <f t="shared" si="4"/>
        <v>Leopard-214985</v>
      </c>
      <c r="E130" t="str">
        <f t="shared" si="5"/>
        <v>A01</v>
      </c>
    </row>
    <row r="131" spans="1:5" x14ac:dyDescent="0.25">
      <c r="A131" t="str">
        <f t="shared" ref="A131:A194" si="6">IF(TRIM(B131)="","", "G7")</f>
        <v>G7</v>
      </c>
      <c r="B131" t="s">
        <v>347</v>
      </c>
      <c r="C131" t="s">
        <v>348</v>
      </c>
      <c r="D131" t="str">
        <f t="shared" ref="D131:D194" si="7">IF(TRIM(B131)="","", "Leopard-214985")</f>
        <v>Leopard-214985</v>
      </c>
      <c r="E131" t="str">
        <f t="shared" ref="E131:E194" si="8">IF(TRIM(B131)="","", "A01")</f>
        <v>A01</v>
      </c>
    </row>
    <row r="132" spans="1:5" x14ac:dyDescent="0.25">
      <c r="A132" t="str">
        <f t="shared" si="6"/>
        <v>G7</v>
      </c>
      <c r="B132" t="s">
        <v>349</v>
      </c>
      <c r="C132" t="s">
        <v>350</v>
      </c>
      <c r="D132" t="str">
        <f t="shared" si="7"/>
        <v>Leopard-214985</v>
      </c>
      <c r="E132" t="str">
        <f t="shared" si="8"/>
        <v>A01</v>
      </c>
    </row>
    <row r="133" spans="1:5" x14ac:dyDescent="0.25">
      <c r="A133" t="str">
        <f t="shared" si="6"/>
        <v>G7</v>
      </c>
      <c r="B133" t="s">
        <v>351</v>
      </c>
      <c r="C133" t="s">
        <v>352</v>
      </c>
      <c r="D133" t="str">
        <f t="shared" si="7"/>
        <v>Leopard-214985</v>
      </c>
      <c r="E133" t="str">
        <f t="shared" si="8"/>
        <v>A01</v>
      </c>
    </row>
    <row r="134" spans="1:5" x14ac:dyDescent="0.25">
      <c r="A134" t="str">
        <f t="shared" si="6"/>
        <v>G7</v>
      </c>
      <c r="B134" t="s">
        <v>353</v>
      </c>
      <c r="C134" t="s">
        <v>354</v>
      </c>
      <c r="D134" t="str">
        <f t="shared" si="7"/>
        <v>Leopard-214985</v>
      </c>
      <c r="E134" t="str">
        <f t="shared" si="8"/>
        <v>A01</v>
      </c>
    </row>
    <row r="135" spans="1:5" x14ac:dyDescent="0.25">
      <c r="A135" t="str">
        <f t="shared" si="6"/>
        <v>G7</v>
      </c>
      <c r="B135" t="s">
        <v>355</v>
      </c>
      <c r="C135" t="s">
        <v>356</v>
      </c>
      <c r="D135" t="str">
        <f t="shared" si="7"/>
        <v>Leopard-214985</v>
      </c>
      <c r="E135" t="str">
        <f t="shared" si="8"/>
        <v>A01</v>
      </c>
    </row>
    <row r="136" spans="1:5" x14ac:dyDescent="0.25">
      <c r="A136" t="str">
        <f t="shared" si="6"/>
        <v>G7</v>
      </c>
      <c r="B136" t="s">
        <v>357</v>
      </c>
      <c r="C136" t="s">
        <v>358</v>
      </c>
      <c r="D136" t="str">
        <f t="shared" si="7"/>
        <v>Leopard-214985</v>
      </c>
      <c r="E136" t="str">
        <f t="shared" si="8"/>
        <v>A01</v>
      </c>
    </row>
    <row r="137" spans="1:5" x14ac:dyDescent="0.25">
      <c r="A137" t="str">
        <f t="shared" si="6"/>
        <v>G7</v>
      </c>
      <c r="B137" t="s">
        <v>359</v>
      </c>
      <c r="C137" t="s">
        <v>360</v>
      </c>
      <c r="D137" t="str">
        <f t="shared" si="7"/>
        <v>Leopard-214985</v>
      </c>
      <c r="E137" t="str">
        <f t="shared" si="8"/>
        <v>A01</v>
      </c>
    </row>
    <row r="138" spans="1:5" x14ac:dyDescent="0.25">
      <c r="A138" t="str">
        <f t="shared" si="6"/>
        <v>G7</v>
      </c>
      <c r="B138" t="s">
        <v>361</v>
      </c>
      <c r="C138" t="s">
        <v>362</v>
      </c>
      <c r="D138" t="str">
        <f t="shared" si="7"/>
        <v>Leopard-214985</v>
      </c>
      <c r="E138" t="str">
        <f t="shared" si="8"/>
        <v>A01</v>
      </c>
    </row>
    <row r="139" spans="1:5" x14ac:dyDescent="0.25">
      <c r="A139" t="str">
        <f t="shared" si="6"/>
        <v>G7</v>
      </c>
      <c r="B139" t="s">
        <v>363</v>
      </c>
      <c r="C139" t="s">
        <v>364</v>
      </c>
      <c r="D139" t="str">
        <f t="shared" si="7"/>
        <v>Leopard-214985</v>
      </c>
      <c r="E139" t="str">
        <f t="shared" si="8"/>
        <v>A01</v>
      </c>
    </row>
    <row r="140" spans="1:5" x14ac:dyDescent="0.25">
      <c r="A140" t="str">
        <f t="shared" si="6"/>
        <v>G7</v>
      </c>
      <c r="B140" t="s">
        <v>365</v>
      </c>
      <c r="C140" t="s">
        <v>366</v>
      </c>
      <c r="D140" t="str">
        <f t="shared" si="7"/>
        <v>Leopard-214985</v>
      </c>
      <c r="E140" t="str">
        <f t="shared" si="8"/>
        <v>A01</v>
      </c>
    </row>
    <row r="141" spans="1:5" x14ac:dyDescent="0.25">
      <c r="A141" t="str">
        <f t="shared" si="6"/>
        <v>G7</v>
      </c>
      <c r="B141" t="s">
        <v>367</v>
      </c>
      <c r="C141" t="s">
        <v>368</v>
      </c>
      <c r="D141" t="str">
        <f t="shared" si="7"/>
        <v>Leopard-214985</v>
      </c>
      <c r="E141" t="str">
        <f t="shared" si="8"/>
        <v>A01</v>
      </c>
    </row>
    <row r="142" spans="1:5" x14ac:dyDescent="0.25">
      <c r="A142" t="str">
        <f t="shared" si="6"/>
        <v>G7</v>
      </c>
      <c r="B142" t="s">
        <v>369</v>
      </c>
      <c r="C142" t="s">
        <v>370</v>
      </c>
      <c r="D142" t="str">
        <f t="shared" si="7"/>
        <v>Leopard-214985</v>
      </c>
      <c r="E142" t="str">
        <f t="shared" si="8"/>
        <v>A01</v>
      </c>
    </row>
    <row r="143" spans="1:5" x14ac:dyDescent="0.25">
      <c r="A143" t="str">
        <f t="shared" si="6"/>
        <v>G7</v>
      </c>
      <c r="B143" t="s">
        <v>371</v>
      </c>
      <c r="C143" t="s">
        <v>372</v>
      </c>
      <c r="D143" t="str">
        <f t="shared" si="7"/>
        <v>Leopard-214985</v>
      </c>
      <c r="E143" t="str">
        <f t="shared" si="8"/>
        <v>A01</v>
      </c>
    </row>
    <row r="144" spans="1:5" x14ac:dyDescent="0.25">
      <c r="A144" t="str">
        <f t="shared" si="6"/>
        <v>G7</v>
      </c>
      <c r="B144" t="s">
        <v>373</v>
      </c>
      <c r="C144" t="s">
        <v>374</v>
      </c>
      <c r="D144" t="str">
        <f t="shared" si="7"/>
        <v>Leopard-214985</v>
      </c>
      <c r="E144" t="str">
        <f t="shared" si="8"/>
        <v>A01</v>
      </c>
    </row>
    <row r="145" spans="1:5" x14ac:dyDescent="0.25">
      <c r="A145" t="str">
        <f t="shared" si="6"/>
        <v>G7</v>
      </c>
      <c r="B145" t="s">
        <v>375</v>
      </c>
      <c r="C145" t="s">
        <v>376</v>
      </c>
      <c r="D145" t="str">
        <f t="shared" si="7"/>
        <v>Leopard-214985</v>
      </c>
      <c r="E145" t="str">
        <f t="shared" si="8"/>
        <v>A01</v>
      </c>
    </row>
    <row r="146" spans="1:5" x14ac:dyDescent="0.25">
      <c r="A146" t="str">
        <f t="shared" si="6"/>
        <v>G7</v>
      </c>
      <c r="B146" t="s">
        <v>377</v>
      </c>
      <c r="C146" t="s">
        <v>378</v>
      </c>
      <c r="D146" t="str">
        <f t="shared" si="7"/>
        <v>Leopard-214985</v>
      </c>
      <c r="E146" t="str">
        <f t="shared" si="8"/>
        <v>A01</v>
      </c>
    </row>
    <row r="147" spans="1:5" x14ac:dyDescent="0.25">
      <c r="A147" t="str">
        <f t="shared" si="6"/>
        <v>G7</v>
      </c>
      <c r="B147" t="s">
        <v>379</v>
      </c>
      <c r="C147" t="s">
        <v>380</v>
      </c>
      <c r="D147" t="str">
        <f t="shared" si="7"/>
        <v>Leopard-214985</v>
      </c>
      <c r="E147" t="str">
        <f t="shared" si="8"/>
        <v>A01</v>
      </c>
    </row>
    <row r="148" spans="1:5" x14ac:dyDescent="0.25">
      <c r="A148" t="str">
        <f t="shared" si="6"/>
        <v>G7</v>
      </c>
      <c r="B148" t="s">
        <v>381</v>
      </c>
      <c r="C148" t="s">
        <v>382</v>
      </c>
      <c r="D148" t="str">
        <f t="shared" si="7"/>
        <v>Leopard-214985</v>
      </c>
      <c r="E148" t="str">
        <f t="shared" si="8"/>
        <v>A01</v>
      </c>
    </row>
    <row r="149" spans="1:5" x14ac:dyDescent="0.25">
      <c r="A149" t="str">
        <f t="shared" si="6"/>
        <v>G7</v>
      </c>
      <c r="B149" t="s">
        <v>383</v>
      </c>
      <c r="C149" t="s">
        <v>384</v>
      </c>
      <c r="D149" t="str">
        <f t="shared" si="7"/>
        <v>Leopard-214985</v>
      </c>
      <c r="E149" t="str">
        <f t="shared" si="8"/>
        <v>A01</v>
      </c>
    </row>
    <row r="150" spans="1:5" x14ac:dyDescent="0.25">
      <c r="A150" t="str">
        <f t="shared" si="6"/>
        <v>G7</v>
      </c>
      <c r="B150" t="s">
        <v>385</v>
      </c>
      <c r="C150" t="s">
        <v>386</v>
      </c>
      <c r="D150" t="str">
        <f t="shared" si="7"/>
        <v>Leopard-214985</v>
      </c>
      <c r="E150" t="str">
        <f t="shared" si="8"/>
        <v>A01</v>
      </c>
    </row>
    <row r="151" spans="1:5" x14ac:dyDescent="0.25">
      <c r="A151" t="str">
        <f t="shared" si="6"/>
        <v>G7</v>
      </c>
      <c r="B151" t="s">
        <v>387</v>
      </c>
      <c r="C151" t="s">
        <v>388</v>
      </c>
      <c r="D151" t="str">
        <f t="shared" si="7"/>
        <v>Leopard-214985</v>
      </c>
      <c r="E151" t="str">
        <f t="shared" si="8"/>
        <v>A01</v>
      </c>
    </row>
    <row r="152" spans="1:5" x14ac:dyDescent="0.25">
      <c r="A152" t="str">
        <f t="shared" si="6"/>
        <v>G7</v>
      </c>
      <c r="B152" t="s">
        <v>389</v>
      </c>
      <c r="C152" t="s">
        <v>390</v>
      </c>
      <c r="D152" t="str">
        <f t="shared" si="7"/>
        <v>Leopard-214985</v>
      </c>
      <c r="E152" t="str">
        <f t="shared" si="8"/>
        <v>A01</v>
      </c>
    </row>
    <row r="153" spans="1:5" x14ac:dyDescent="0.25">
      <c r="A153" t="str">
        <f t="shared" si="6"/>
        <v>G7</v>
      </c>
      <c r="B153" t="s">
        <v>391</v>
      </c>
      <c r="C153" t="s">
        <v>392</v>
      </c>
      <c r="D153" t="str">
        <f t="shared" si="7"/>
        <v>Leopard-214985</v>
      </c>
      <c r="E153" t="str">
        <f t="shared" si="8"/>
        <v>A01</v>
      </c>
    </row>
    <row r="154" spans="1:5" x14ac:dyDescent="0.25">
      <c r="A154" t="str">
        <f t="shared" si="6"/>
        <v>G7</v>
      </c>
      <c r="B154" t="s">
        <v>393</v>
      </c>
      <c r="C154" t="s">
        <v>394</v>
      </c>
      <c r="D154" t="str">
        <f t="shared" si="7"/>
        <v>Leopard-214985</v>
      </c>
      <c r="E154" t="str">
        <f t="shared" si="8"/>
        <v>A01</v>
      </c>
    </row>
    <row r="155" spans="1:5" x14ac:dyDescent="0.25">
      <c r="A155" t="str">
        <f t="shared" si="6"/>
        <v>G7</v>
      </c>
      <c r="B155" t="s">
        <v>395</v>
      </c>
      <c r="C155" t="s">
        <v>396</v>
      </c>
      <c r="D155" t="str">
        <f t="shared" si="7"/>
        <v>Leopard-214985</v>
      </c>
      <c r="E155" t="str">
        <f t="shared" si="8"/>
        <v>A01</v>
      </c>
    </row>
    <row r="156" spans="1:5" x14ac:dyDescent="0.25">
      <c r="A156" t="str">
        <f t="shared" si="6"/>
        <v>G7</v>
      </c>
      <c r="B156" t="s">
        <v>397</v>
      </c>
      <c r="C156" t="s">
        <v>398</v>
      </c>
      <c r="D156" t="str">
        <f t="shared" si="7"/>
        <v>Leopard-214985</v>
      </c>
      <c r="E156" t="str">
        <f t="shared" si="8"/>
        <v>A01</v>
      </c>
    </row>
    <row r="157" spans="1:5" x14ac:dyDescent="0.25">
      <c r="A157" t="str">
        <f t="shared" si="6"/>
        <v>G7</v>
      </c>
      <c r="B157" t="s">
        <v>399</v>
      </c>
      <c r="C157" t="s">
        <v>400</v>
      </c>
      <c r="D157" t="str">
        <f t="shared" si="7"/>
        <v>Leopard-214985</v>
      </c>
      <c r="E157" t="str">
        <f t="shared" si="8"/>
        <v>A01</v>
      </c>
    </row>
    <row r="158" spans="1:5" x14ac:dyDescent="0.25">
      <c r="A158" t="str">
        <f t="shared" si="6"/>
        <v>G7</v>
      </c>
      <c r="B158" t="s">
        <v>401</v>
      </c>
      <c r="C158" t="s">
        <v>402</v>
      </c>
      <c r="D158" t="str">
        <f t="shared" si="7"/>
        <v>Leopard-214985</v>
      </c>
      <c r="E158" t="str">
        <f t="shared" si="8"/>
        <v>A01</v>
      </c>
    </row>
    <row r="159" spans="1:5" x14ac:dyDescent="0.25">
      <c r="A159" t="str">
        <f t="shared" si="6"/>
        <v>G7</v>
      </c>
      <c r="B159" t="s">
        <v>403</v>
      </c>
      <c r="C159" t="s">
        <v>404</v>
      </c>
      <c r="D159" t="str">
        <f t="shared" si="7"/>
        <v>Leopard-214985</v>
      </c>
      <c r="E159" t="str">
        <f t="shared" si="8"/>
        <v>A01</v>
      </c>
    </row>
    <row r="160" spans="1:5" x14ac:dyDescent="0.25">
      <c r="A160" t="str">
        <f t="shared" si="6"/>
        <v>G7</v>
      </c>
      <c r="B160" t="s">
        <v>405</v>
      </c>
      <c r="C160" t="s">
        <v>406</v>
      </c>
      <c r="D160" t="str">
        <f t="shared" si="7"/>
        <v>Leopard-214985</v>
      </c>
      <c r="E160" t="str">
        <f t="shared" si="8"/>
        <v>A01</v>
      </c>
    </row>
    <row r="161" spans="1:5" x14ac:dyDescent="0.25">
      <c r="A161" t="str">
        <f t="shared" si="6"/>
        <v>G7</v>
      </c>
      <c r="B161" t="s">
        <v>407</v>
      </c>
      <c r="C161" t="s">
        <v>408</v>
      </c>
      <c r="D161" t="str">
        <f t="shared" si="7"/>
        <v>Leopard-214985</v>
      </c>
      <c r="E161" t="str">
        <f t="shared" si="8"/>
        <v>A01</v>
      </c>
    </row>
    <row r="162" spans="1:5" x14ac:dyDescent="0.25">
      <c r="A162" t="str">
        <f t="shared" si="6"/>
        <v>G7</v>
      </c>
      <c r="B162" t="s">
        <v>409</v>
      </c>
      <c r="C162" t="s">
        <v>410</v>
      </c>
      <c r="D162" t="str">
        <f t="shared" si="7"/>
        <v>Leopard-214985</v>
      </c>
      <c r="E162" t="str">
        <f t="shared" si="8"/>
        <v>A01</v>
      </c>
    </row>
    <row r="163" spans="1:5" x14ac:dyDescent="0.25">
      <c r="A163" t="str">
        <f t="shared" si="6"/>
        <v>G7</v>
      </c>
      <c r="B163" t="s">
        <v>411</v>
      </c>
      <c r="C163" t="s">
        <v>412</v>
      </c>
      <c r="D163" t="str">
        <f t="shared" si="7"/>
        <v>Leopard-214985</v>
      </c>
      <c r="E163" t="str">
        <f t="shared" si="8"/>
        <v>A01</v>
      </c>
    </row>
    <row r="164" spans="1:5" x14ac:dyDescent="0.25">
      <c r="A164" t="str">
        <f t="shared" si="6"/>
        <v>G7</v>
      </c>
      <c r="B164" t="s">
        <v>413</v>
      </c>
      <c r="C164" t="s">
        <v>414</v>
      </c>
      <c r="D164" t="str">
        <f t="shared" si="7"/>
        <v>Leopard-214985</v>
      </c>
      <c r="E164" t="str">
        <f t="shared" si="8"/>
        <v>A01</v>
      </c>
    </row>
    <row r="165" spans="1:5" x14ac:dyDescent="0.25">
      <c r="A165" t="str">
        <f t="shared" si="6"/>
        <v>G7</v>
      </c>
      <c r="B165" t="s">
        <v>415</v>
      </c>
      <c r="C165" t="s">
        <v>416</v>
      </c>
      <c r="D165" t="str">
        <f t="shared" si="7"/>
        <v>Leopard-214985</v>
      </c>
      <c r="E165" t="str">
        <f t="shared" si="8"/>
        <v>A01</v>
      </c>
    </row>
    <row r="166" spans="1:5" x14ac:dyDescent="0.25">
      <c r="A166" t="str">
        <f t="shared" si="6"/>
        <v>G7</v>
      </c>
      <c r="B166" t="s">
        <v>417</v>
      </c>
      <c r="C166" t="s">
        <v>418</v>
      </c>
      <c r="D166" t="str">
        <f t="shared" si="7"/>
        <v>Leopard-214985</v>
      </c>
      <c r="E166" t="str">
        <f t="shared" si="8"/>
        <v>A01</v>
      </c>
    </row>
    <row r="167" spans="1:5" x14ac:dyDescent="0.25">
      <c r="A167" t="str">
        <f t="shared" si="6"/>
        <v>G7</v>
      </c>
      <c r="B167" t="s">
        <v>419</v>
      </c>
      <c r="C167" t="s">
        <v>420</v>
      </c>
      <c r="D167" t="str">
        <f t="shared" si="7"/>
        <v>Leopard-214985</v>
      </c>
      <c r="E167" t="str">
        <f t="shared" si="8"/>
        <v>A01</v>
      </c>
    </row>
    <row r="168" spans="1:5" x14ac:dyDescent="0.25">
      <c r="A168" t="str">
        <f t="shared" si="6"/>
        <v>G7</v>
      </c>
      <c r="B168" t="s">
        <v>421</v>
      </c>
      <c r="C168" t="s">
        <v>422</v>
      </c>
      <c r="D168" t="str">
        <f t="shared" si="7"/>
        <v>Leopard-214985</v>
      </c>
      <c r="E168" t="str">
        <f t="shared" si="8"/>
        <v>A01</v>
      </c>
    </row>
    <row r="169" spans="1:5" x14ac:dyDescent="0.25">
      <c r="A169" t="str">
        <f t="shared" si="6"/>
        <v>G7</v>
      </c>
      <c r="B169" t="s">
        <v>423</v>
      </c>
      <c r="C169" t="s">
        <v>424</v>
      </c>
      <c r="D169" t="str">
        <f t="shared" si="7"/>
        <v>Leopard-214985</v>
      </c>
      <c r="E169" t="str">
        <f t="shared" si="8"/>
        <v>A01</v>
      </c>
    </row>
    <row r="170" spans="1:5" x14ac:dyDescent="0.25">
      <c r="A170" t="str">
        <f t="shared" si="6"/>
        <v>G7</v>
      </c>
      <c r="B170" t="s">
        <v>425</v>
      </c>
      <c r="C170" t="s">
        <v>426</v>
      </c>
      <c r="D170" t="str">
        <f t="shared" si="7"/>
        <v>Leopard-214985</v>
      </c>
      <c r="E170" t="str">
        <f t="shared" si="8"/>
        <v>A01</v>
      </c>
    </row>
    <row r="171" spans="1:5" x14ac:dyDescent="0.25">
      <c r="A171" t="str">
        <f t="shared" si="6"/>
        <v>G7</v>
      </c>
      <c r="B171" t="s">
        <v>427</v>
      </c>
      <c r="C171" t="s">
        <v>428</v>
      </c>
      <c r="D171" t="str">
        <f t="shared" si="7"/>
        <v>Leopard-214985</v>
      </c>
      <c r="E171" t="str">
        <f t="shared" si="8"/>
        <v>A01</v>
      </c>
    </row>
    <row r="172" spans="1:5" x14ac:dyDescent="0.25">
      <c r="A172" t="str">
        <f t="shared" si="6"/>
        <v>G7</v>
      </c>
      <c r="B172" t="s">
        <v>429</v>
      </c>
      <c r="C172" t="s">
        <v>430</v>
      </c>
      <c r="D172" t="str">
        <f t="shared" si="7"/>
        <v>Leopard-214985</v>
      </c>
      <c r="E172" t="str">
        <f t="shared" si="8"/>
        <v>A01</v>
      </c>
    </row>
    <row r="173" spans="1:5" x14ac:dyDescent="0.25">
      <c r="A173" t="str">
        <f t="shared" si="6"/>
        <v>G7</v>
      </c>
      <c r="B173" t="s">
        <v>431</v>
      </c>
      <c r="C173" t="s">
        <v>432</v>
      </c>
      <c r="D173" t="str">
        <f t="shared" si="7"/>
        <v>Leopard-214985</v>
      </c>
      <c r="E173" t="str">
        <f t="shared" si="8"/>
        <v>A01</v>
      </c>
    </row>
    <row r="174" spans="1:5" x14ac:dyDescent="0.25">
      <c r="A174" t="str">
        <f t="shared" si="6"/>
        <v>G7</v>
      </c>
      <c r="B174" t="s">
        <v>433</v>
      </c>
      <c r="C174" t="s">
        <v>434</v>
      </c>
      <c r="D174" t="str">
        <f t="shared" si="7"/>
        <v>Leopard-214985</v>
      </c>
      <c r="E174" t="str">
        <f t="shared" si="8"/>
        <v>A01</v>
      </c>
    </row>
    <row r="175" spans="1:5" x14ac:dyDescent="0.25">
      <c r="A175" t="str">
        <f t="shared" si="6"/>
        <v>G7</v>
      </c>
      <c r="B175" t="s">
        <v>435</v>
      </c>
      <c r="C175" t="s">
        <v>436</v>
      </c>
      <c r="D175" t="str">
        <f t="shared" si="7"/>
        <v>Leopard-214985</v>
      </c>
      <c r="E175" t="str">
        <f t="shared" si="8"/>
        <v>A01</v>
      </c>
    </row>
    <row r="176" spans="1:5" x14ac:dyDescent="0.25">
      <c r="A176" t="str">
        <f t="shared" si="6"/>
        <v>G7</v>
      </c>
      <c r="B176" t="s">
        <v>437</v>
      </c>
      <c r="C176" t="s">
        <v>438</v>
      </c>
      <c r="D176" t="str">
        <f t="shared" si="7"/>
        <v>Leopard-214985</v>
      </c>
      <c r="E176" t="str">
        <f t="shared" si="8"/>
        <v>A01</v>
      </c>
    </row>
    <row r="177" spans="1:5" x14ac:dyDescent="0.25">
      <c r="A177" t="str">
        <f t="shared" si="6"/>
        <v>G7</v>
      </c>
      <c r="B177" t="s">
        <v>439</v>
      </c>
      <c r="C177" t="s">
        <v>440</v>
      </c>
      <c r="D177" t="str">
        <f t="shared" si="7"/>
        <v>Leopard-214985</v>
      </c>
      <c r="E177" t="str">
        <f t="shared" si="8"/>
        <v>A01</v>
      </c>
    </row>
    <row r="178" spans="1:5" x14ac:dyDescent="0.25">
      <c r="A178" t="str">
        <f t="shared" si="6"/>
        <v>G7</v>
      </c>
      <c r="B178" t="s">
        <v>441</v>
      </c>
      <c r="C178" t="s">
        <v>442</v>
      </c>
      <c r="D178" t="str">
        <f t="shared" si="7"/>
        <v>Leopard-214985</v>
      </c>
      <c r="E178" t="str">
        <f t="shared" si="8"/>
        <v>A01</v>
      </c>
    </row>
    <row r="179" spans="1:5" x14ac:dyDescent="0.25">
      <c r="A179" t="str">
        <f t="shared" si="6"/>
        <v>G7</v>
      </c>
      <c r="B179" t="s">
        <v>443</v>
      </c>
      <c r="C179" t="s">
        <v>444</v>
      </c>
      <c r="D179" t="str">
        <f t="shared" si="7"/>
        <v>Leopard-214985</v>
      </c>
      <c r="E179" t="str">
        <f t="shared" si="8"/>
        <v>A01</v>
      </c>
    </row>
    <row r="180" spans="1:5" x14ac:dyDescent="0.25">
      <c r="A180" t="str">
        <f t="shared" si="6"/>
        <v>G7</v>
      </c>
      <c r="B180" t="s">
        <v>445</v>
      </c>
      <c r="C180" t="s">
        <v>446</v>
      </c>
      <c r="D180" t="str">
        <f t="shared" si="7"/>
        <v>Leopard-214985</v>
      </c>
      <c r="E180" t="str">
        <f t="shared" si="8"/>
        <v>A01</v>
      </c>
    </row>
    <row r="181" spans="1:5" x14ac:dyDescent="0.25">
      <c r="A181" t="str">
        <f t="shared" si="6"/>
        <v>G7</v>
      </c>
      <c r="B181" t="s">
        <v>447</v>
      </c>
      <c r="C181" t="s">
        <v>448</v>
      </c>
      <c r="D181" t="str">
        <f t="shared" si="7"/>
        <v>Leopard-214985</v>
      </c>
      <c r="E181" t="str">
        <f t="shared" si="8"/>
        <v>A01</v>
      </c>
    </row>
    <row r="182" spans="1:5" x14ac:dyDescent="0.25">
      <c r="A182" t="str">
        <f t="shared" si="6"/>
        <v>G7</v>
      </c>
      <c r="B182" t="s">
        <v>449</v>
      </c>
      <c r="C182" t="s">
        <v>450</v>
      </c>
      <c r="D182" t="str">
        <f t="shared" si="7"/>
        <v>Leopard-214985</v>
      </c>
      <c r="E182" t="str">
        <f t="shared" si="8"/>
        <v>A01</v>
      </c>
    </row>
    <row r="183" spans="1:5" x14ac:dyDescent="0.25">
      <c r="A183" t="str">
        <f t="shared" si="6"/>
        <v>G7</v>
      </c>
      <c r="B183" t="s">
        <v>451</v>
      </c>
      <c r="C183" t="s">
        <v>452</v>
      </c>
      <c r="D183" t="str">
        <f t="shared" si="7"/>
        <v>Leopard-214985</v>
      </c>
      <c r="E183" t="str">
        <f t="shared" si="8"/>
        <v>A01</v>
      </c>
    </row>
    <row r="184" spans="1:5" x14ac:dyDescent="0.25">
      <c r="A184" t="str">
        <f t="shared" si="6"/>
        <v>G7</v>
      </c>
      <c r="B184" t="s">
        <v>453</v>
      </c>
      <c r="C184" t="s">
        <v>454</v>
      </c>
      <c r="D184" t="str">
        <f t="shared" si="7"/>
        <v>Leopard-214985</v>
      </c>
      <c r="E184" t="str">
        <f t="shared" si="8"/>
        <v>A01</v>
      </c>
    </row>
    <row r="185" spans="1:5" x14ac:dyDescent="0.25">
      <c r="A185" t="str">
        <f t="shared" si="6"/>
        <v>G7</v>
      </c>
      <c r="B185" t="s">
        <v>455</v>
      </c>
      <c r="C185" t="s">
        <v>456</v>
      </c>
      <c r="D185" t="str">
        <f t="shared" si="7"/>
        <v>Leopard-214985</v>
      </c>
      <c r="E185" t="str">
        <f t="shared" si="8"/>
        <v>A01</v>
      </c>
    </row>
    <row r="186" spans="1:5" x14ac:dyDescent="0.25">
      <c r="A186" t="str">
        <f t="shared" si="6"/>
        <v>G7</v>
      </c>
      <c r="B186" t="s">
        <v>457</v>
      </c>
      <c r="C186" t="s">
        <v>458</v>
      </c>
      <c r="D186" t="str">
        <f t="shared" si="7"/>
        <v>Leopard-214985</v>
      </c>
      <c r="E186" t="str">
        <f t="shared" si="8"/>
        <v>A01</v>
      </c>
    </row>
    <row r="187" spans="1:5" x14ac:dyDescent="0.25">
      <c r="A187" t="str">
        <f t="shared" si="6"/>
        <v>G7</v>
      </c>
      <c r="B187" t="s">
        <v>459</v>
      </c>
      <c r="C187" t="s">
        <v>460</v>
      </c>
      <c r="D187" t="str">
        <f t="shared" si="7"/>
        <v>Leopard-214985</v>
      </c>
      <c r="E187" t="str">
        <f t="shared" si="8"/>
        <v>A01</v>
      </c>
    </row>
    <row r="188" spans="1:5" x14ac:dyDescent="0.25">
      <c r="A188" t="str">
        <f t="shared" si="6"/>
        <v>G7</v>
      </c>
      <c r="B188" t="s">
        <v>461</v>
      </c>
      <c r="C188" t="s">
        <v>462</v>
      </c>
      <c r="D188" t="str">
        <f t="shared" si="7"/>
        <v>Leopard-214985</v>
      </c>
      <c r="E188" t="str">
        <f t="shared" si="8"/>
        <v>A01</v>
      </c>
    </row>
    <row r="189" spans="1:5" x14ac:dyDescent="0.25">
      <c r="A189" t="str">
        <f t="shared" si="6"/>
        <v>G7</v>
      </c>
      <c r="B189" t="s">
        <v>463</v>
      </c>
      <c r="C189" t="s">
        <v>464</v>
      </c>
      <c r="D189" t="str">
        <f t="shared" si="7"/>
        <v>Leopard-214985</v>
      </c>
      <c r="E189" t="str">
        <f t="shared" si="8"/>
        <v>A01</v>
      </c>
    </row>
    <row r="190" spans="1:5" x14ac:dyDescent="0.25">
      <c r="A190" t="str">
        <f t="shared" si="6"/>
        <v>G7</v>
      </c>
      <c r="B190" t="s">
        <v>465</v>
      </c>
      <c r="C190" t="s">
        <v>466</v>
      </c>
      <c r="D190" t="str">
        <f t="shared" si="7"/>
        <v>Leopard-214985</v>
      </c>
      <c r="E190" t="str">
        <f t="shared" si="8"/>
        <v>A01</v>
      </c>
    </row>
    <row r="191" spans="1:5" x14ac:dyDescent="0.25">
      <c r="A191" t="str">
        <f t="shared" si="6"/>
        <v>G7</v>
      </c>
      <c r="B191" t="s">
        <v>467</v>
      </c>
      <c r="C191" t="s">
        <v>468</v>
      </c>
      <c r="D191" t="str">
        <f t="shared" si="7"/>
        <v>Leopard-214985</v>
      </c>
      <c r="E191" t="str">
        <f t="shared" si="8"/>
        <v>A01</v>
      </c>
    </row>
    <row r="192" spans="1:5" x14ac:dyDescent="0.25">
      <c r="A192" t="str">
        <f t="shared" si="6"/>
        <v>G7</v>
      </c>
      <c r="B192" t="s">
        <v>469</v>
      </c>
      <c r="C192" t="s">
        <v>470</v>
      </c>
      <c r="D192" t="str">
        <f t="shared" si="7"/>
        <v>Leopard-214985</v>
      </c>
      <c r="E192" t="str">
        <f t="shared" si="8"/>
        <v>A01</v>
      </c>
    </row>
    <row r="193" spans="1:5" x14ac:dyDescent="0.25">
      <c r="A193" t="str">
        <f t="shared" si="6"/>
        <v>G7</v>
      </c>
      <c r="B193" t="s">
        <v>471</v>
      </c>
      <c r="C193" t="s">
        <v>472</v>
      </c>
      <c r="D193" t="str">
        <f t="shared" si="7"/>
        <v>Leopard-214985</v>
      </c>
      <c r="E193" t="str">
        <f t="shared" si="8"/>
        <v>A01</v>
      </c>
    </row>
    <row r="194" spans="1:5" x14ac:dyDescent="0.25">
      <c r="A194" t="str">
        <f t="shared" si="6"/>
        <v>G7</v>
      </c>
      <c r="B194" t="s">
        <v>473</v>
      </c>
      <c r="C194" t="s">
        <v>474</v>
      </c>
      <c r="D194" t="str">
        <f t="shared" si="7"/>
        <v>Leopard-214985</v>
      </c>
      <c r="E194" t="str">
        <f t="shared" si="8"/>
        <v>A01</v>
      </c>
    </row>
    <row r="195" spans="1:5" x14ac:dyDescent="0.25">
      <c r="A195" t="str">
        <f t="shared" ref="A195:A258" si="9">IF(TRIM(B195)="","", "G7")</f>
        <v>G7</v>
      </c>
      <c r="B195" t="s">
        <v>475</v>
      </c>
      <c r="C195" t="s">
        <v>476</v>
      </c>
      <c r="D195" t="str">
        <f t="shared" ref="D195:D258" si="10">IF(TRIM(B195)="","", "Leopard-214985")</f>
        <v>Leopard-214985</v>
      </c>
      <c r="E195" t="str">
        <f t="shared" ref="E195:E258" si="11">IF(TRIM(B195)="","", "A01")</f>
        <v>A01</v>
      </c>
    </row>
    <row r="196" spans="1:5" x14ac:dyDescent="0.25">
      <c r="A196" t="str">
        <f t="shared" si="9"/>
        <v>G7</v>
      </c>
      <c r="B196" t="s">
        <v>477</v>
      </c>
      <c r="C196" t="s">
        <v>478</v>
      </c>
      <c r="D196" t="str">
        <f t="shared" si="10"/>
        <v>Leopard-214985</v>
      </c>
      <c r="E196" t="str">
        <f t="shared" si="11"/>
        <v>A01</v>
      </c>
    </row>
    <row r="197" spans="1:5" x14ac:dyDescent="0.25">
      <c r="A197" t="str">
        <f t="shared" si="9"/>
        <v>G7</v>
      </c>
      <c r="B197" t="s">
        <v>479</v>
      </c>
      <c r="C197" t="s">
        <v>480</v>
      </c>
      <c r="D197" t="str">
        <f t="shared" si="10"/>
        <v>Leopard-214985</v>
      </c>
      <c r="E197" t="str">
        <f t="shared" si="11"/>
        <v>A01</v>
      </c>
    </row>
    <row r="198" spans="1:5" x14ac:dyDescent="0.25">
      <c r="A198" t="str">
        <f t="shared" si="9"/>
        <v>G7</v>
      </c>
      <c r="B198" t="s">
        <v>481</v>
      </c>
      <c r="C198" t="s">
        <v>482</v>
      </c>
      <c r="D198" t="str">
        <f t="shared" si="10"/>
        <v>Leopard-214985</v>
      </c>
      <c r="E198" t="str">
        <f t="shared" si="11"/>
        <v>A01</v>
      </c>
    </row>
    <row r="199" spans="1:5" x14ac:dyDescent="0.25">
      <c r="A199" t="str">
        <f t="shared" si="9"/>
        <v>G7</v>
      </c>
      <c r="B199" t="s">
        <v>483</v>
      </c>
      <c r="C199" t="s">
        <v>484</v>
      </c>
      <c r="D199" t="str">
        <f t="shared" si="10"/>
        <v>Leopard-214985</v>
      </c>
      <c r="E199" t="str">
        <f t="shared" si="11"/>
        <v>A01</v>
      </c>
    </row>
    <row r="200" spans="1:5" x14ac:dyDescent="0.25">
      <c r="A200" t="str">
        <f t="shared" si="9"/>
        <v>G7</v>
      </c>
      <c r="B200" t="s">
        <v>485</v>
      </c>
      <c r="C200" t="s">
        <v>486</v>
      </c>
      <c r="D200" t="str">
        <f t="shared" si="10"/>
        <v>Leopard-214985</v>
      </c>
      <c r="E200" t="str">
        <f t="shared" si="11"/>
        <v>A01</v>
      </c>
    </row>
    <row r="201" spans="1:5" x14ac:dyDescent="0.25">
      <c r="A201" t="str">
        <f t="shared" si="9"/>
        <v>G7</v>
      </c>
      <c r="B201" t="s">
        <v>487</v>
      </c>
      <c r="C201" t="s">
        <v>488</v>
      </c>
      <c r="D201" t="str">
        <f t="shared" si="10"/>
        <v>Leopard-214985</v>
      </c>
      <c r="E201" t="str">
        <f t="shared" si="11"/>
        <v>A01</v>
      </c>
    </row>
    <row r="202" spans="1:5" x14ac:dyDescent="0.25">
      <c r="A202" t="str">
        <f t="shared" si="9"/>
        <v>G7</v>
      </c>
      <c r="B202" t="s">
        <v>489</v>
      </c>
      <c r="C202" t="s">
        <v>490</v>
      </c>
      <c r="D202" t="str">
        <f t="shared" si="10"/>
        <v>Leopard-214985</v>
      </c>
      <c r="E202" t="str">
        <f t="shared" si="11"/>
        <v>A01</v>
      </c>
    </row>
    <row r="203" spans="1:5" x14ac:dyDescent="0.25">
      <c r="A203" t="str">
        <f t="shared" si="9"/>
        <v>G7</v>
      </c>
      <c r="B203" t="s">
        <v>491</v>
      </c>
      <c r="C203" t="s">
        <v>492</v>
      </c>
      <c r="D203" t="str">
        <f t="shared" si="10"/>
        <v>Leopard-214985</v>
      </c>
      <c r="E203" t="str">
        <f t="shared" si="11"/>
        <v>A01</v>
      </c>
    </row>
    <row r="204" spans="1:5" x14ac:dyDescent="0.25">
      <c r="A204" t="str">
        <f t="shared" si="9"/>
        <v>G7</v>
      </c>
      <c r="B204" t="s">
        <v>493</v>
      </c>
      <c r="C204" t="s">
        <v>494</v>
      </c>
      <c r="D204" t="str">
        <f t="shared" si="10"/>
        <v>Leopard-214985</v>
      </c>
      <c r="E204" t="str">
        <f t="shared" si="11"/>
        <v>A01</v>
      </c>
    </row>
    <row r="205" spans="1:5" x14ac:dyDescent="0.25">
      <c r="A205" t="str">
        <f t="shared" si="9"/>
        <v>G7</v>
      </c>
      <c r="B205" t="s">
        <v>495</v>
      </c>
      <c r="C205" t="s">
        <v>496</v>
      </c>
      <c r="D205" t="str">
        <f t="shared" si="10"/>
        <v>Leopard-214985</v>
      </c>
      <c r="E205" t="str">
        <f t="shared" si="11"/>
        <v>A01</v>
      </c>
    </row>
    <row r="206" spans="1:5" x14ac:dyDescent="0.25">
      <c r="A206" t="str">
        <f t="shared" si="9"/>
        <v>G7</v>
      </c>
      <c r="B206" t="s">
        <v>497</v>
      </c>
      <c r="C206" t="s">
        <v>498</v>
      </c>
      <c r="D206" t="str">
        <f t="shared" si="10"/>
        <v>Leopard-214985</v>
      </c>
      <c r="E206" t="str">
        <f t="shared" si="11"/>
        <v>A01</v>
      </c>
    </row>
    <row r="207" spans="1:5" x14ac:dyDescent="0.25">
      <c r="A207" t="str">
        <f t="shared" si="9"/>
        <v>G7</v>
      </c>
      <c r="B207" t="s">
        <v>499</v>
      </c>
      <c r="C207" t="s">
        <v>500</v>
      </c>
      <c r="D207" t="str">
        <f t="shared" si="10"/>
        <v>Leopard-214985</v>
      </c>
      <c r="E207" t="str">
        <f t="shared" si="11"/>
        <v>A01</v>
      </c>
    </row>
    <row r="208" spans="1:5" x14ac:dyDescent="0.25">
      <c r="A208" t="str">
        <f t="shared" si="9"/>
        <v>G7</v>
      </c>
      <c r="B208" t="s">
        <v>501</v>
      </c>
      <c r="C208" t="s">
        <v>502</v>
      </c>
      <c r="D208" t="str">
        <f t="shared" si="10"/>
        <v>Leopard-214985</v>
      </c>
      <c r="E208" t="str">
        <f t="shared" si="11"/>
        <v>A01</v>
      </c>
    </row>
    <row r="209" spans="1:5" x14ac:dyDescent="0.25">
      <c r="A209" t="str">
        <f t="shared" si="9"/>
        <v>G7</v>
      </c>
      <c r="B209" t="s">
        <v>503</v>
      </c>
      <c r="C209" t="s">
        <v>504</v>
      </c>
      <c r="D209" t="str">
        <f t="shared" si="10"/>
        <v>Leopard-214985</v>
      </c>
      <c r="E209" t="str">
        <f t="shared" si="11"/>
        <v>A01</v>
      </c>
    </row>
    <row r="210" spans="1:5" x14ac:dyDescent="0.25">
      <c r="A210" t="str">
        <f t="shared" si="9"/>
        <v>G7</v>
      </c>
      <c r="B210" t="s">
        <v>505</v>
      </c>
      <c r="C210" t="s">
        <v>506</v>
      </c>
      <c r="D210" t="str">
        <f t="shared" si="10"/>
        <v>Leopard-214985</v>
      </c>
      <c r="E210" t="str">
        <f t="shared" si="11"/>
        <v>A01</v>
      </c>
    </row>
    <row r="211" spans="1:5" x14ac:dyDescent="0.25">
      <c r="A211" t="str">
        <f t="shared" si="9"/>
        <v>G7</v>
      </c>
      <c r="B211" t="s">
        <v>507</v>
      </c>
      <c r="C211" t="s">
        <v>508</v>
      </c>
      <c r="D211" t="str">
        <f t="shared" si="10"/>
        <v>Leopard-214985</v>
      </c>
      <c r="E211" t="str">
        <f t="shared" si="11"/>
        <v>A01</v>
      </c>
    </row>
    <row r="212" spans="1:5" x14ac:dyDescent="0.25">
      <c r="A212" t="str">
        <f t="shared" si="9"/>
        <v>G7</v>
      </c>
      <c r="B212" t="s">
        <v>509</v>
      </c>
      <c r="C212" t="s">
        <v>510</v>
      </c>
      <c r="D212" t="str">
        <f t="shared" si="10"/>
        <v>Leopard-214985</v>
      </c>
      <c r="E212" t="str">
        <f t="shared" si="11"/>
        <v>A01</v>
      </c>
    </row>
    <row r="213" spans="1:5" x14ac:dyDescent="0.25">
      <c r="A213" t="str">
        <f t="shared" si="9"/>
        <v>G7</v>
      </c>
      <c r="B213" t="s">
        <v>511</v>
      </c>
      <c r="C213" t="s">
        <v>512</v>
      </c>
      <c r="D213" t="str">
        <f t="shared" si="10"/>
        <v>Leopard-214985</v>
      </c>
      <c r="E213" t="str">
        <f t="shared" si="11"/>
        <v>A01</v>
      </c>
    </row>
    <row r="214" spans="1:5" x14ac:dyDescent="0.25">
      <c r="A214" t="str">
        <f t="shared" si="9"/>
        <v>G7</v>
      </c>
      <c r="B214" t="s">
        <v>513</v>
      </c>
      <c r="C214" t="s">
        <v>514</v>
      </c>
      <c r="D214" t="str">
        <f t="shared" si="10"/>
        <v>Leopard-214985</v>
      </c>
      <c r="E214" t="str">
        <f t="shared" si="11"/>
        <v>A01</v>
      </c>
    </row>
    <row r="215" spans="1:5" x14ac:dyDescent="0.25">
      <c r="A215" t="str">
        <f t="shared" si="9"/>
        <v>G7</v>
      </c>
      <c r="B215" t="s">
        <v>515</v>
      </c>
      <c r="C215" t="s">
        <v>516</v>
      </c>
      <c r="D215" t="str">
        <f t="shared" si="10"/>
        <v>Leopard-214985</v>
      </c>
      <c r="E215" t="str">
        <f t="shared" si="11"/>
        <v>A01</v>
      </c>
    </row>
    <row r="216" spans="1:5" x14ac:dyDescent="0.25">
      <c r="A216" t="str">
        <f t="shared" si="9"/>
        <v>G7</v>
      </c>
      <c r="B216" t="s">
        <v>517</v>
      </c>
      <c r="C216" t="s">
        <v>518</v>
      </c>
      <c r="D216" t="str">
        <f t="shared" si="10"/>
        <v>Leopard-214985</v>
      </c>
      <c r="E216" t="str">
        <f t="shared" si="11"/>
        <v>A01</v>
      </c>
    </row>
    <row r="217" spans="1:5" x14ac:dyDescent="0.25">
      <c r="A217" t="str">
        <f t="shared" si="9"/>
        <v>G7</v>
      </c>
      <c r="B217" t="s">
        <v>519</v>
      </c>
      <c r="C217" t="s">
        <v>520</v>
      </c>
      <c r="D217" t="str">
        <f t="shared" si="10"/>
        <v>Leopard-214985</v>
      </c>
      <c r="E217" t="str">
        <f t="shared" si="11"/>
        <v>A01</v>
      </c>
    </row>
    <row r="218" spans="1:5" x14ac:dyDescent="0.25">
      <c r="A218" t="str">
        <f t="shared" si="9"/>
        <v>G7</v>
      </c>
      <c r="B218" t="s">
        <v>521</v>
      </c>
      <c r="C218" t="s">
        <v>522</v>
      </c>
      <c r="D218" t="str">
        <f t="shared" si="10"/>
        <v>Leopard-214985</v>
      </c>
      <c r="E218" t="str">
        <f t="shared" si="11"/>
        <v>A01</v>
      </c>
    </row>
    <row r="219" spans="1:5" x14ac:dyDescent="0.25">
      <c r="A219" t="str">
        <f t="shared" si="9"/>
        <v>G7</v>
      </c>
      <c r="B219" t="s">
        <v>523</v>
      </c>
      <c r="C219" t="s">
        <v>524</v>
      </c>
      <c r="D219" t="str">
        <f t="shared" si="10"/>
        <v>Leopard-214985</v>
      </c>
      <c r="E219" t="str">
        <f t="shared" si="11"/>
        <v>A01</v>
      </c>
    </row>
    <row r="220" spans="1:5" x14ac:dyDescent="0.25">
      <c r="A220" t="str">
        <f t="shared" si="9"/>
        <v>G7</v>
      </c>
      <c r="B220" t="s">
        <v>525</v>
      </c>
      <c r="C220" t="s">
        <v>526</v>
      </c>
      <c r="D220" t="str">
        <f t="shared" si="10"/>
        <v>Leopard-214985</v>
      </c>
      <c r="E220" t="str">
        <f t="shared" si="11"/>
        <v>A01</v>
      </c>
    </row>
    <row r="221" spans="1:5" x14ac:dyDescent="0.25">
      <c r="A221" t="str">
        <f t="shared" si="9"/>
        <v>G7</v>
      </c>
      <c r="B221" t="s">
        <v>527</v>
      </c>
      <c r="C221" t="s">
        <v>528</v>
      </c>
      <c r="D221" t="str">
        <f t="shared" si="10"/>
        <v>Leopard-214985</v>
      </c>
      <c r="E221" t="str">
        <f t="shared" si="11"/>
        <v>A01</v>
      </c>
    </row>
    <row r="222" spans="1:5" x14ac:dyDescent="0.25">
      <c r="A222" t="str">
        <f t="shared" si="9"/>
        <v>G7</v>
      </c>
      <c r="B222" t="s">
        <v>529</v>
      </c>
      <c r="C222" t="s">
        <v>530</v>
      </c>
      <c r="D222" t="str">
        <f t="shared" si="10"/>
        <v>Leopard-214985</v>
      </c>
      <c r="E222" t="str">
        <f t="shared" si="11"/>
        <v>A01</v>
      </c>
    </row>
    <row r="223" spans="1:5" x14ac:dyDescent="0.25">
      <c r="A223" t="str">
        <f t="shared" si="9"/>
        <v>G7</v>
      </c>
      <c r="B223" t="s">
        <v>531</v>
      </c>
      <c r="C223" t="s">
        <v>532</v>
      </c>
      <c r="D223" t="str">
        <f t="shared" si="10"/>
        <v>Leopard-214985</v>
      </c>
      <c r="E223" t="str">
        <f t="shared" si="11"/>
        <v>A01</v>
      </c>
    </row>
    <row r="224" spans="1:5" x14ac:dyDescent="0.25">
      <c r="A224" t="str">
        <f t="shared" si="9"/>
        <v>G7</v>
      </c>
      <c r="B224" t="s">
        <v>533</v>
      </c>
      <c r="C224" t="s">
        <v>534</v>
      </c>
      <c r="D224" t="str">
        <f t="shared" si="10"/>
        <v>Leopard-214985</v>
      </c>
      <c r="E224" t="str">
        <f t="shared" si="11"/>
        <v>A01</v>
      </c>
    </row>
    <row r="225" spans="1:5" x14ac:dyDescent="0.25">
      <c r="A225" t="str">
        <f t="shared" si="9"/>
        <v>G7</v>
      </c>
      <c r="B225" t="s">
        <v>535</v>
      </c>
      <c r="C225" t="s">
        <v>536</v>
      </c>
      <c r="D225" t="str">
        <f t="shared" si="10"/>
        <v>Leopard-214985</v>
      </c>
      <c r="E225" t="str">
        <f t="shared" si="11"/>
        <v>A01</v>
      </c>
    </row>
    <row r="226" spans="1:5" x14ac:dyDescent="0.25">
      <c r="A226" t="str">
        <f t="shared" si="9"/>
        <v>G7</v>
      </c>
      <c r="B226" t="s">
        <v>537</v>
      </c>
      <c r="C226" t="s">
        <v>538</v>
      </c>
      <c r="D226" t="str">
        <f t="shared" si="10"/>
        <v>Leopard-214985</v>
      </c>
      <c r="E226" t="str">
        <f t="shared" si="11"/>
        <v>A01</v>
      </c>
    </row>
    <row r="227" spans="1:5" x14ac:dyDescent="0.25">
      <c r="A227" t="str">
        <f t="shared" si="9"/>
        <v>G7</v>
      </c>
      <c r="B227" t="s">
        <v>539</v>
      </c>
      <c r="C227" t="s">
        <v>540</v>
      </c>
      <c r="D227" t="str">
        <f t="shared" si="10"/>
        <v>Leopard-214985</v>
      </c>
      <c r="E227" t="str">
        <f t="shared" si="11"/>
        <v>A01</v>
      </c>
    </row>
    <row r="228" spans="1:5" x14ac:dyDescent="0.25">
      <c r="A228" t="str">
        <f t="shared" si="9"/>
        <v>G7</v>
      </c>
      <c r="B228" t="s">
        <v>541</v>
      </c>
      <c r="C228" t="s">
        <v>542</v>
      </c>
      <c r="D228" t="str">
        <f t="shared" si="10"/>
        <v>Leopard-214985</v>
      </c>
      <c r="E228" t="str">
        <f t="shared" si="11"/>
        <v>A01</v>
      </c>
    </row>
    <row r="229" spans="1:5" x14ac:dyDescent="0.25">
      <c r="A229" t="str">
        <f t="shared" si="9"/>
        <v>G7</v>
      </c>
      <c r="B229" t="s">
        <v>543</v>
      </c>
      <c r="C229" t="s">
        <v>544</v>
      </c>
      <c r="D229" t="str">
        <f t="shared" si="10"/>
        <v>Leopard-214985</v>
      </c>
      <c r="E229" t="str">
        <f t="shared" si="11"/>
        <v>A01</v>
      </c>
    </row>
    <row r="230" spans="1:5" x14ac:dyDescent="0.25">
      <c r="A230" t="str">
        <f t="shared" si="9"/>
        <v>G7</v>
      </c>
      <c r="B230" t="s">
        <v>545</v>
      </c>
      <c r="C230" t="s">
        <v>546</v>
      </c>
      <c r="D230" t="str">
        <f t="shared" si="10"/>
        <v>Leopard-214985</v>
      </c>
      <c r="E230" t="str">
        <f t="shared" si="11"/>
        <v>A01</v>
      </c>
    </row>
    <row r="231" spans="1:5" x14ac:dyDescent="0.25">
      <c r="A231" t="str">
        <f t="shared" si="9"/>
        <v>G7</v>
      </c>
      <c r="B231" t="s">
        <v>547</v>
      </c>
      <c r="C231" t="s">
        <v>548</v>
      </c>
      <c r="D231" t="str">
        <f t="shared" si="10"/>
        <v>Leopard-214985</v>
      </c>
      <c r="E231" t="str">
        <f t="shared" si="11"/>
        <v>A01</v>
      </c>
    </row>
    <row r="232" spans="1:5" x14ac:dyDescent="0.25">
      <c r="A232" t="str">
        <f t="shared" si="9"/>
        <v>G7</v>
      </c>
      <c r="B232" t="s">
        <v>549</v>
      </c>
      <c r="C232" t="s">
        <v>550</v>
      </c>
      <c r="D232" t="str">
        <f t="shared" si="10"/>
        <v>Leopard-214985</v>
      </c>
      <c r="E232" t="str">
        <f t="shared" si="11"/>
        <v>A01</v>
      </c>
    </row>
    <row r="233" spans="1:5" x14ac:dyDescent="0.25">
      <c r="A233" t="str">
        <f t="shared" si="9"/>
        <v>G7</v>
      </c>
      <c r="B233" t="s">
        <v>551</v>
      </c>
      <c r="C233" t="s">
        <v>552</v>
      </c>
      <c r="D233" t="str">
        <f t="shared" si="10"/>
        <v>Leopard-214985</v>
      </c>
      <c r="E233" t="str">
        <f t="shared" si="11"/>
        <v>A01</v>
      </c>
    </row>
    <row r="234" spans="1:5" x14ac:dyDescent="0.25">
      <c r="A234" t="str">
        <f t="shared" si="9"/>
        <v>G7</v>
      </c>
      <c r="B234" t="s">
        <v>553</v>
      </c>
      <c r="C234" t="s">
        <v>554</v>
      </c>
      <c r="D234" t="str">
        <f t="shared" si="10"/>
        <v>Leopard-214985</v>
      </c>
      <c r="E234" t="str">
        <f t="shared" si="11"/>
        <v>A01</v>
      </c>
    </row>
    <row r="235" spans="1:5" x14ac:dyDescent="0.25">
      <c r="A235" t="str">
        <f t="shared" si="9"/>
        <v>G7</v>
      </c>
      <c r="B235" t="s">
        <v>555</v>
      </c>
      <c r="C235" t="s">
        <v>556</v>
      </c>
      <c r="D235" t="str">
        <f t="shared" si="10"/>
        <v>Leopard-214985</v>
      </c>
      <c r="E235" t="str">
        <f t="shared" si="11"/>
        <v>A01</v>
      </c>
    </row>
    <row r="236" spans="1:5" x14ac:dyDescent="0.25">
      <c r="A236" t="str">
        <f t="shared" si="9"/>
        <v>G7</v>
      </c>
      <c r="B236" t="s">
        <v>557</v>
      </c>
      <c r="C236" t="s">
        <v>558</v>
      </c>
      <c r="D236" t="str">
        <f t="shared" si="10"/>
        <v>Leopard-214985</v>
      </c>
      <c r="E236" t="str">
        <f t="shared" si="11"/>
        <v>A01</v>
      </c>
    </row>
    <row r="237" spans="1:5" x14ac:dyDescent="0.25">
      <c r="A237" t="str">
        <f t="shared" si="9"/>
        <v>G7</v>
      </c>
      <c r="B237" t="s">
        <v>559</v>
      </c>
      <c r="C237" t="s">
        <v>560</v>
      </c>
      <c r="D237" t="str">
        <f t="shared" si="10"/>
        <v>Leopard-214985</v>
      </c>
      <c r="E237" t="str">
        <f t="shared" si="11"/>
        <v>A01</v>
      </c>
    </row>
    <row r="238" spans="1:5" x14ac:dyDescent="0.25">
      <c r="A238" t="str">
        <f t="shared" si="9"/>
        <v>G7</v>
      </c>
      <c r="B238" t="s">
        <v>561</v>
      </c>
      <c r="C238" t="s">
        <v>562</v>
      </c>
      <c r="D238" t="str">
        <f t="shared" si="10"/>
        <v>Leopard-214985</v>
      </c>
      <c r="E238" t="str">
        <f t="shared" si="11"/>
        <v>A01</v>
      </c>
    </row>
    <row r="239" spans="1:5" x14ac:dyDescent="0.25">
      <c r="A239" t="str">
        <f t="shared" si="9"/>
        <v>G7</v>
      </c>
      <c r="B239" t="s">
        <v>563</v>
      </c>
      <c r="C239" t="s">
        <v>564</v>
      </c>
      <c r="D239" t="str">
        <f t="shared" si="10"/>
        <v>Leopard-214985</v>
      </c>
      <c r="E239" t="str">
        <f t="shared" si="11"/>
        <v>A01</v>
      </c>
    </row>
    <row r="240" spans="1:5" x14ac:dyDescent="0.25">
      <c r="A240" t="str">
        <f t="shared" si="9"/>
        <v>G7</v>
      </c>
      <c r="B240" t="s">
        <v>565</v>
      </c>
      <c r="C240" t="s">
        <v>566</v>
      </c>
      <c r="D240" t="str">
        <f t="shared" si="10"/>
        <v>Leopard-214985</v>
      </c>
      <c r="E240" t="str">
        <f t="shared" si="11"/>
        <v>A01</v>
      </c>
    </row>
    <row r="241" spans="1:5" x14ac:dyDescent="0.25">
      <c r="A241" t="str">
        <f t="shared" si="9"/>
        <v>G7</v>
      </c>
      <c r="B241" t="s">
        <v>567</v>
      </c>
      <c r="C241" t="s">
        <v>568</v>
      </c>
      <c r="D241" t="str">
        <f t="shared" si="10"/>
        <v>Leopard-214985</v>
      </c>
      <c r="E241" t="str">
        <f t="shared" si="11"/>
        <v>A01</v>
      </c>
    </row>
    <row r="242" spans="1:5" x14ac:dyDescent="0.25">
      <c r="A242" t="str">
        <f t="shared" si="9"/>
        <v>G7</v>
      </c>
      <c r="B242" t="s">
        <v>569</v>
      </c>
      <c r="C242" t="s">
        <v>570</v>
      </c>
      <c r="D242" t="str">
        <f t="shared" si="10"/>
        <v>Leopard-214985</v>
      </c>
      <c r="E242" t="str">
        <f t="shared" si="11"/>
        <v>A01</v>
      </c>
    </row>
    <row r="243" spans="1:5" x14ac:dyDescent="0.25">
      <c r="A243" t="str">
        <f t="shared" si="9"/>
        <v>G7</v>
      </c>
      <c r="B243" t="s">
        <v>571</v>
      </c>
      <c r="C243" t="s">
        <v>572</v>
      </c>
      <c r="D243" t="str">
        <f t="shared" si="10"/>
        <v>Leopard-214985</v>
      </c>
      <c r="E243" t="str">
        <f t="shared" si="11"/>
        <v>A01</v>
      </c>
    </row>
    <row r="244" spans="1:5" x14ac:dyDescent="0.25">
      <c r="A244" t="str">
        <f t="shared" si="9"/>
        <v>G7</v>
      </c>
      <c r="B244" t="s">
        <v>573</v>
      </c>
      <c r="C244" t="s">
        <v>574</v>
      </c>
      <c r="D244" t="str">
        <f t="shared" si="10"/>
        <v>Leopard-214985</v>
      </c>
      <c r="E244" t="str">
        <f t="shared" si="11"/>
        <v>A01</v>
      </c>
    </row>
    <row r="245" spans="1:5" x14ac:dyDescent="0.25">
      <c r="A245" t="str">
        <f t="shared" si="9"/>
        <v>G7</v>
      </c>
      <c r="B245" t="s">
        <v>575</v>
      </c>
      <c r="C245" t="s">
        <v>576</v>
      </c>
      <c r="D245" t="str">
        <f t="shared" si="10"/>
        <v>Leopard-214985</v>
      </c>
      <c r="E245" t="str">
        <f t="shared" si="11"/>
        <v>A01</v>
      </c>
    </row>
    <row r="246" spans="1:5" x14ac:dyDescent="0.25">
      <c r="A246" t="str">
        <f t="shared" si="9"/>
        <v>G7</v>
      </c>
      <c r="B246" t="s">
        <v>577</v>
      </c>
      <c r="C246" t="s">
        <v>578</v>
      </c>
      <c r="D246" t="str">
        <f t="shared" si="10"/>
        <v>Leopard-214985</v>
      </c>
      <c r="E246" t="str">
        <f t="shared" si="11"/>
        <v>A01</v>
      </c>
    </row>
    <row r="247" spans="1:5" x14ac:dyDescent="0.25">
      <c r="A247" t="str">
        <f t="shared" si="9"/>
        <v>G7</v>
      </c>
      <c r="B247" t="s">
        <v>579</v>
      </c>
      <c r="C247" t="s">
        <v>580</v>
      </c>
      <c r="D247" t="str">
        <f t="shared" si="10"/>
        <v>Leopard-214985</v>
      </c>
      <c r="E247" t="str">
        <f t="shared" si="11"/>
        <v>A01</v>
      </c>
    </row>
    <row r="248" spans="1:5" x14ac:dyDescent="0.25">
      <c r="A248" t="str">
        <f t="shared" si="9"/>
        <v>G7</v>
      </c>
      <c r="B248" t="s">
        <v>581</v>
      </c>
      <c r="C248" t="s">
        <v>582</v>
      </c>
      <c r="D248" t="str">
        <f t="shared" si="10"/>
        <v>Leopard-214985</v>
      </c>
      <c r="E248" t="str">
        <f t="shared" si="11"/>
        <v>A01</v>
      </c>
    </row>
    <row r="249" spans="1:5" x14ac:dyDescent="0.25">
      <c r="A249" t="str">
        <f t="shared" si="9"/>
        <v>G7</v>
      </c>
      <c r="B249" t="s">
        <v>583</v>
      </c>
      <c r="C249" t="s">
        <v>584</v>
      </c>
      <c r="D249" t="str">
        <f t="shared" si="10"/>
        <v>Leopard-214985</v>
      </c>
      <c r="E249" t="str">
        <f t="shared" si="11"/>
        <v>A01</v>
      </c>
    </row>
    <row r="250" spans="1:5" x14ac:dyDescent="0.25">
      <c r="A250" t="str">
        <f t="shared" si="9"/>
        <v>G7</v>
      </c>
      <c r="B250" t="s">
        <v>585</v>
      </c>
      <c r="C250" t="s">
        <v>586</v>
      </c>
      <c r="D250" t="str">
        <f t="shared" si="10"/>
        <v>Leopard-214985</v>
      </c>
      <c r="E250" t="str">
        <f t="shared" si="11"/>
        <v>A01</v>
      </c>
    </row>
    <row r="251" spans="1:5" x14ac:dyDescent="0.25">
      <c r="A251" t="str">
        <f t="shared" si="9"/>
        <v>G7</v>
      </c>
      <c r="B251" t="s">
        <v>587</v>
      </c>
      <c r="C251" t="s">
        <v>588</v>
      </c>
      <c r="D251" t="str">
        <f t="shared" si="10"/>
        <v>Leopard-214985</v>
      </c>
      <c r="E251" t="str">
        <f t="shared" si="11"/>
        <v>A01</v>
      </c>
    </row>
    <row r="252" spans="1:5" x14ac:dyDescent="0.25">
      <c r="A252" t="str">
        <f t="shared" si="9"/>
        <v>G7</v>
      </c>
      <c r="B252" t="s">
        <v>589</v>
      </c>
      <c r="C252" t="s">
        <v>590</v>
      </c>
      <c r="D252" t="str">
        <f t="shared" si="10"/>
        <v>Leopard-214985</v>
      </c>
      <c r="E252" t="str">
        <f t="shared" si="11"/>
        <v>A01</v>
      </c>
    </row>
    <row r="253" spans="1:5" x14ac:dyDescent="0.25">
      <c r="A253" t="str">
        <f t="shared" si="9"/>
        <v>G7</v>
      </c>
      <c r="B253" t="s">
        <v>591</v>
      </c>
      <c r="C253" t="s">
        <v>592</v>
      </c>
      <c r="D253" t="str">
        <f t="shared" si="10"/>
        <v>Leopard-214985</v>
      </c>
      <c r="E253" t="str">
        <f t="shared" si="11"/>
        <v>A01</v>
      </c>
    </row>
    <row r="254" spans="1:5" x14ac:dyDescent="0.25">
      <c r="A254" t="str">
        <f t="shared" si="9"/>
        <v>G7</v>
      </c>
      <c r="B254" t="s">
        <v>593</v>
      </c>
      <c r="C254" t="s">
        <v>594</v>
      </c>
      <c r="D254" t="str">
        <f t="shared" si="10"/>
        <v>Leopard-214985</v>
      </c>
      <c r="E254" t="str">
        <f t="shared" si="11"/>
        <v>A01</v>
      </c>
    </row>
    <row r="255" spans="1:5" x14ac:dyDescent="0.25">
      <c r="A255" t="str">
        <f t="shared" si="9"/>
        <v>G7</v>
      </c>
      <c r="B255" t="s">
        <v>595</v>
      </c>
      <c r="C255" t="s">
        <v>596</v>
      </c>
      <c r="D255" t="str">
        <f t="shared" si="10"/>
        <v>Leopard-214985</v>
      </c>
      <c r="E255" t="str">
        <f t="shared" si="11"/>
        <v>A01</v>
      </c>
    </row>
    <row r="256" spans="1:5" x14ac:dyDescent="0.25">
      <c r="A256" t="str">
        <f t="shared" si="9"/>
        <v>G7</v>
      </c>
      <c r="B256" t="s">
        <v>597</v>
      </c>
      <c r="C256" t="s">
        <v>598</v>
      </c>
      <c r="D256" t="str">
        <f t="shared" si="10"/>
        <v>Leopard-214985</v>
      </c>
      <c r="E256" t="str">
        <f t="shared" si="11"/>
        <v>A01</v>
      </c>
    </row>
    <row r="257" spans="1:5" x14ac:dyDescent="0.25">
      <c r="A257" t="str">
        <f t="shared" si="9"/>
        <v>G7</v>
      </c>
      <c r="B257" t="s">
        <v>599</v>
      </c>
      <c r="C257" t="s">
        <v>600</v>
      </c>
      <c r="D257" t="str">
        <f t="shared" si="10"/>
        <v>Leopard-214985</v>
      </c>
      <c r="E257" t="str">
        <f t="shared" si="11"/>
        <v>A01</v>
      </c>
    </row>
    <row r="258" spans="1:5" x14ac:dyDescent="0.25">
      <c r="A258" t="str">
        <f t="shared" si="9"/>
        <v>G7</v>
      </c>
      <c r="B258" t="s">
        <v>601</v>
      </c>
      <c r="C258" t="s">
        <v>602</v>
      </c>
      <c r="D258" t="str">
        <f t="shared" si="10"/>
        <v>Leopard-214985</v>
      </c>
      <c r="E258" t="str">
        <f t="shared" si="11"/>
        <v>A01</v>
      </c>
    </row>
    <row r="259" spans="1:5" x14ac:dyDescent="0.25">
      <c r="A259" t="str">
        <f t="shared" ref="A259:A322" si="12">IF(TRIM(B259)="","", "G7")</f>
        <v>G7</v>
      </c>
      <c r="B259" t="s">
        <v>603</v>
      </c>
      <c r="C259" t="s">
        <v>604</v>
      </c>
      <c r="D259" t="str">
        <f t="shared" ref="D259:D322" si="13">IF(TRIM(B259)="","", "Leopard-214985")</f>
        <v>Leopard-214985</v>
      </c>
      <c r="E259" t="str">
        <f t="shared" ref="E259:E322" si="14">IF(TRIM(B259)="","", "A01")</f>
        <v>A01</v>
      </c>
    </row>
    <row r="260" spans="1:5" x14ac:dyDescent="0.25">
      <c r="A260" t="str">
        <f t="shared" si="12"/>
        <v>G7</v>
      </c>
      <c r="B260" t="s">
        <v>605</v>
      </c>
      <c r="C260" t="s">
        <v>606</v>
      </c>
      <c r="D260" t="str">
        <f t="shared" si="13"/>
        <v>Leopard-214985</v>
      </c>
      <c r="E260" t="str">
        <f t="shared" si="14"/>
        <v>A01</v>
      </c>
    </row>
    <row r="261" spans="1:5" x14ac:dyDescent="0.25">
      <c r="A261" t="str">
        <f t="shared" si="12"/>
        <v>G7</v>
      </c>
      <c r="B261" t="s">
        <v>607</v>
      </c>
      <c r="C261" t="s">
        <v>608</v>
      </c>
      <c r="D261" t="str">
        <f t="shared" si="13"/>
        <v>Leopard-214985</v>
      </c>
      <c r="E261" t="str">
        <f t="shared" si="14"/>
        <v>A01</v>
      </c>
    </row>
    <row r="262" spans="1:5" x14ac:dyDescent="0.25">
      <c r="A262" t="str">
        <f t="shared" si="12"/>
        <v>G7</v>
      </c>
      <c r="B262" t="s">
        <v>609</v>
      </c>
      <c r="C262" t="s">
        <v>610</v>
      </c>
      <c r="D262" t="str">
        <f t="shared" si="13"/>
        <v>Leopard-214985</v>
      </c>
      <c r="E262" t="str">
        <f t="shared" si="14"/>
        <v>A01</v>
      </c>
    </row>
    <row r="263" spans="1:5" x14ac:dyDescent="0.25">
      <c r="A263" t="str">
        <f t="shared" si="12"/>
        <v>G7</v>
      </c>
      <c r="B263" t="s">
        <v>611</v>
      </c>
      <c r="C263" t="s">
        <v>612</v>
      </c>
      <c r="D263" t="str">
        <f t="shared" si="13"/>
        <v>Leopard-214985</v>
      </c>
      <c r="E263" t="str">
        <f t="shared" si="14"/>
        <v>A01</v>
      </c>
    </row>
    <row r="264" spans="1:5" x14ac:dyDescent="0.25">
      <c r="A264" t="str">
        <f t="shared" si="12"/>
        <v>G7</v>
      </c>
      <c r="B264" t="s">
        <v>613</v>
      </c>
      <c r="C264" t="s">
        <v>614</v>
      </c>
      <c r="D264" t="str">
        <f t="shared" si="13"/>
        <v>Leopard-214985</v>
      </c>
      <c r="E264" t="str">
        <f t="shared" si="14"/>
        <v>A01</v>
      </c>
    </row>
    <row r="265" spans="1:5" x14ac:dyDescent="0.25">
      <c r="A265" t="str">
        <f t="shared" si="12"/>
        <v>G7</v>
      </c>
      <c r="B265" t="s">
        <v>615</v>
      </c>
      <c r="C265" t="s">
        <v>616</v>
      </c>
      <c r="D265" t="str">
        <f t="shared" si="13"/>
        <v>Leopard-214985</v>
      </c>
      <c r="E265" t="str">
        <f t="shared" si="14"/>
        <v>A01</v>
      </c>
    </row>
    <row r="266" spans="1:5" x14ac:dyDescent="0.25">
      <c r="A266" t="str">
        <f t="shared" si="12"/>
        <v>G7</v>
      </c>
      <c r="B266" t="s">
        <v>617</v>
      </c>
      <c r="C266" t="s">
        <v>618</v>
      </c>
      <c r="D266" t="str">
        <f t="shared" si="13"/>
        <v>Leopard-214985</v>
      </c>
      <c r="E266" t="str">
        <f t="shared" si="14"/>
        <v>A01</v>
      </c>
    </row>
    <row r="267" spans="1:5" x14ac:dyDescent="0.25">
      <c r="A267" t="str">
        <f t="shared" si="12"/>
        <v>G7</v>
      </c>
      <c r="B267" t="s">
        <v>619</v>
      </c>
      <c r="C267" t="s">
        <v>620</v>
      </c>
      <c r="D267" t="str">
        <f t="shared" si="13"/>
        <v>Leopard-214985</v>
      </c>
      <c r="E267" t="str">
        <f t="shared" si="14"/>
        <v>A01</v>
      </c>
    </row>
    <row r="268" spans="1:5" x14ac:dyDescent="0.25">
      <c r="A268" t="str">
        <f t="shared" si="12"/>
        <v>G7</v>
      </c>
      <c r="B268" t="s">
        <v>621</v>
      </c>
      <c r="C268" t="s">
        <v>622</v>
      </c>
      <c r="D268" t="str">
        <f t="shared" si="13"/>
        <v>Leopard-214985</v>
      </c>
      <c r="E268" t="str">
        <f t="shared" si="14"/>
        <v>A01</v>
      </c>
    </row>
    <row r="269" spans="1:5" x14ac:dyDescent="0.25">
      <c r="A269" t="str">
        <f t="shared" si="12"/>
        <v>G7</v>
      </c>
      <c r="B269" t="s">
        <v>623</v>
      </c>
      <c r="C269" t="s">
        <v>624</v>
      </c>
      <c r="D269" t="str">
        <f t="shared" si="13"/>
        <v>Leopard-214985</v>
      </c>
      <c r="E269" t="str">
        <f t="shared" si="14"/>
        <v>A01</v>
      </c>
    </row>
    <row r="270" spans="1:5" x14ac:dyDescent="0.25">
      <c r="A270" t="str">
        <f t="shared" si="12"/>
        <v>G7</v>
      </c>
      <c r="B270" t="s">
        <v>625</v>
      </c>
      <c r="C270" t="s">
        <v>626</v>
      </c>
      <c r="D270" t="str">
        <f t="shared" si="13"/>
        <v>Leopard-214985</v>
      </c>
      <c r="E270" t="str">
        <f t="shared" si="14"/>
        <v>A01</v>
      </c>
    </row>
    <row r="271" spans="1:5" x14ac:dyDescent="0.25">
      <c r="A271" t="str">
        <f t="shared" si="12"/>
        <v>G7</v>
      </c>
      <c r="B271" t="s">
        <v>627</v>
      </c>
      <c r="C271" t="s">
        <v>628</v>
      </c>
      <c r="D271" t="str">
        <f t="shared" si="13"/>
        <v>Leopard-214985</v>
      </c>
      <c r="E271" t="str">
        <f t="shared" si="14"/>
        <v>A01</v>
      </c>
    </row>
    <row r="272" spans="1:5" x14ac:dyDescent="0.25">
      <c r="A272" t="str">
        <f t="shared" si="12"/>
        <v>G7</v>
      </c>
      <c r="B272" t="s">
        <v>629</v>
      </c>
      <c r="C272" t="s">
        <v>630</v>
      </c>
      <c r="D272" t="str">
        <f t="shared" si="13"/>
        <v>Leopard-214985</v>
      </c>
      <c r="E272" t="str">
        <f t="shared" si="14"/>
        <v>A01</v>
      </c>
    </row>
    <row r="273" spans="1:5" x14ac:dyDescent="0.25">
      <c r="A273" t="str">
        <f t="shared" si="12"/>
        <v>G7</v>
      </c>
      <c r="B273" t="s">
        <v>631</v>
      </c>
      <c r="C273" t="s">
        <v>632</v>
      </c>
      <c r="D273" t="str">
        <f t="shared" si="13"/>
        <v>Leopard-214985</v>
      </c>
      <c r="E273" t="str">
        <f t="shared" si="14"/>
        <v>A01</v>
      </c>
    </row>
    <row r="274" spans="1:5" x14ac:dyDescent="0.25">
      <c r="A274" t="str">
        <f t="shared" si="12"/>
        <v>G7</v>
      </c>
      <c r="B274" t="s">
        <v>633</v>
      </c>
      <c r="C274" t="s">
        <v>634</v>
      </c>
      <c r="D274" t="str">
        <f t="shared" si="13"/>
        <v>Leopard-214985</v>
      </c>
      <c r="E274" t="str">
        <f t="shared" si="14"/>
        <v>A01</v>
      </c>
    </row>
    <row r="275" spans="1:5" x14ac:dyDescent="0.25">
      <c r="A275" t="str">
        <f t="shared" si="12"/>
        <v>G7</v>
      </c>
      <c r="B275" t="s">
        <v>635</v>
      </c>
      <c r="C275" t="s">
        <v>636</v>
      </c>
      <c r="D275" t="str">
        <f t="shared" si="13"/>
        <v>Leopard-214985</v>
      </c>
      <c r="E275" t="str">
        <f t="shared" si="14"/>
        <v>A01</v>
      </c>
    </row>
    <row r="276" spans="1:5" x14ac:dyDescent="0.25">
      <c r="A276" t="str">
        <f t="shared" si="12"/>
        <v>G7</v>
      </c>
      <c r="B276" t="s">
        <v>637</v>
      </c>
      <c r="C276" t="s">
        <v>638</v>
      </c>
      <c r="D276" t="str">
        <f t="shared" si="13"/>
        <v>Leopard-214985</v>
      </c>
      <c r="E276" t="str">
        <f t="shared" si="14"/>
        <v>A01</v>
      </c>
    </row>
    <row r="277" spans="1:5" x14ac:dyDescent="0.25">
      <c r="A277" t="str">
        <f t="shared" si="12"/>
        <v>G7</v>
      </c>
      <c r="B277" t="s">
        <v>639</v>
      </c>
      <c r="C277" t="s">
        <v>640</v>
      </c>
      <c r="D277" t="str">
        <f t="shared" si="13"/>
        <v>Leopard-214985</v>
      </c>
      <c r="E277" t="str">
        <f t="shared" si="14"/>
        <v>A01</v>
      </c>
    </row>
    <row r="278" spans="1:5" x14ac:dyDescent="0.25">
      <c r="A278" t="str">
        <f t="shared" si="12"/>
        <v>G7</v>
      </c>
      <c r="B278" t="s">
        <v>641</v>
      </c>
      <c r="C278" t="s">
        <v>642</v>
      </c>
      <c r="D278" t="str">
        <f t="shared" si="13"/>
        <v>Leopard-214985</v>
      </c>
      <c r="E278" t="str">
        <f t="shared" si="14"/>
        <v>A01</v>
      </c>
    </row>
    <row r="279" spans="1:5" x14ac:dyDescent="0.25">
      <c r="A279" t="str">
        <f t="shared" si="12"/>
        <v>G7</v>
      </c>
      <c r="B279" t="s">
        <v>643</v>
      </c>
      <c r="C279" t="s">
        <v>644</v>
      </c>
      <c r="D279" t="str">
        <f t="shared" si="13"/>
        <v>Leopard-214985</v>
      </c>
      <c r="E279" t="str">
        <f t="shared" si="14"/>
        <v>A01</v>
      </c>
    </row>
    <row r="280" spans="1:5" x14ac:dyDescent="0.25">
      <c r="A280" t="str">
        <f t="shared" si="12"/>
        <v>G7</v>
      </c>
      <c r="B280" t="s">
        <v>645</v>
      </c>
      <c r="C280" t="s">
        <v>646</v>
      </c>
      <c r="D280" t="str">
        <f t="shared" si="13"/>
        <v>Leopard-214985</v>
      </c>
      <c r="E280" t="str">
        <f t="shared" si="14"/>
        <v>A01</v>
      </c>
    </row>
    <row r="281" spans="1:5" x14ac:dyDescent="0.25">
      <c r="A281" t="str">
        <f t="shared" si="12"/>
        <v>G7</v>
      </c>
      <c r="B281" t="s">
        <v>647</v>
      </c>
      <c r="C281" t="s">
        <v>648</v>
      </c>
      <c r="D281" t="str">
        <f t="shared" si="13"/>
        <v>Leopard-214985</v>
      </c>
      <c r="E281" t="str">
        <f t="shared" si="14"/>
        <v>A01</v>
      </c>
    </row>
    <row r="282" spans="1:5" x14ac:dyDescent="0.25">
      <c r="A282" t="str">
        <f t="shared" si="12"/>
        <v>G7</v>
      </c>
      <c r="B282" t="s">
        <v>649</v>
      </c>
      <c r="C282" t="s">
        <v>650</v>
      </c>
      <c r="D282" t="str">
        <f t="shared" si="13"/>
        <v>Leopard-214985</v>
      </c>
      <c r="E282" t="str">
        <f t="shared" si="14"/>
        <v>A01</v>
      </c>
    </row>
    <row r="283" spans="1:5" x14ac:dyDescent="0.25">
      <c r="A283" t="str">
        <f t="shared" si="12"/>
        <v>G7</v>
      </c>
      <c r="B283" t="s">
        <v>651</v>
      </c>
      <c r="C283" t="s">
        <v>652</v>
      </c>
      <c r="D283" t="str">
        <f t="shared" si="13"/>
        <v>Leopard-214985</v>
      </c>
      <c r="E283" t="str">
        <f t="shared" si="14"/>
        <v>A01</v>
      </c>
    </row>
    <row r="284" spans="1:5" x14ac:dyDescent="0.25">
      <c r="A284" t="str">
        <f t="shared" si="12"/>
        <v>G7</v>
      </c>
      <c r="B284" t="s">
        <v>653</v>
      </c>
      <c r="C284" t="s">
        <v>654</v>
      </c>
      <c r="D284" t="str">
        <f t="shared" si="13"/>
        <v>Leopard-214985</v>
      </c>
      <c r="E284" t="str">
        <f t="shared" si="14"/>
        <v>A01</v>
      </c>
    </row>
    <row r="285" spans="1:5" x14ac:dyDescent="0.25">
      <c r="A285" t="str">
        <f t="shared" si="12"/>
        <v>G7</v>
      </c>
      <c r="B285" t="s">
        <v>655</v>
      </c>
      <c r="C285" t="s">
        <v>656</v>
      </c>
      <c r="D285" t="str">
        <f t="shared" si="13"/>
        <v>Leopard-214985</v>
      </c>
      <c r="E285" t="str">
        <f t="shared" si="14"/>
        <v>A01</v>
      </c>
    </row>
    <row r="286" spans="1:5" x14ac:dyDescent="0.25">
      <c r="A286" t="str">
        <f t="shared" si="12"/>
        <v>G7</v>
      </c>
      <c r="B286" t="s">
        <v>657</v>
      </c>
      <c r="C286" t="s">
        <v>658</v>
      </c>
      <c r="D286" t="str">
        <f t="shared" si="13"/>
        <v>Leopard-214985</v>
      </c>
      <c r="E286" t="str">
        <f t="shared" si="14"/>
        <v>A01</v>
      </c>
    </row>
    <row r="287" spans="1:5" x14ac:dyDescent="0.25">
      <c r="A287" t="str">
        <f t="shared" si="12"/>
        <v>G7</v>
      </c>
      <c r="B287" t="s">
        <v>659</v>
      </c>
      <c r="C287" t="s">
        <v>660</v>
      </c>
      <c r="D287" t="str">
        <f t="shared" si="13"/>
        <v>Leopard-214985</v>
      </c>
      <c r="E287" t="str">
        <f t="shared" si="14"/>
        <v>A01</v>
      </c>
    </row>
    <row r="288" spans="1:5" x14ac:dyDescent="0.25">
      <c r="A288" t="str">
        <f t="shared" si="12"/>
        <v>G7</v>
      </c>
      <c r="B288" t="s">
        <v>661</v>
      </c>
      <c r="C288" t="s">
        <v>662</v>
      </c>
      <c r="D288" t="str">
        <f t="shared" si="13"/>
        <v>Leopard-214985</v>
      </c>
      <c r="E288" t="str">
        <f t="shared" si="14"/>
        <v>A01</v>
      </c>
    </row>
    <row r="289" spans="1:5" x14ac:dyDescent="0.25">
      <c r="A289" t="str">
        <f t="shared" si="12"/>
        <v>G7</v>
      </c>
      <c r="B289" t="s">
        <v>663</v>
      </c>
      <c r="C289" t="s">
        <v>664</v>
      </c>
      <c r="D289" t="str">
        <f t="shared" si="13"/>
        <v>Leopard-214985</v>
      </c>
      <c r="E289" t="str">
        <f t="shared" si="14"/>
        <v>A01</v>
      </c>
    </row>
    <row r="290" spans="1:5" x14ac:dyDescent="0.25">
      <c r="A290" t="str">
        <f t="shared" si="12"/>
        <v>G7</v>
      </c>
      <c r="B290" t="s">
        <v>665</v>
      </c>
      <c r="C290" t="s">
        <v>666</v>
      </c>
      <c r="D290" t="str">
        <f t="shared" si="13"/>
        <v>Leopard-214985</v>
      </c>
      <c r="E290" t="str">
        <f t="shared" si="14"/>
        <v>A01</v>
      </c>
    </row>
    <row r="291" spans="1:5" x14ac:dyDescent="0.25">
      <c r="A291" t="str">
        <f t="shared" si="12"/>
        <v>G7</v>
      </c>
      <c r="B291" t="s">
        <v>667</v>
      </c>
      <c r="C291" t="s">
        <v>668</v>
      </c>
      <c r="D291" t="str">
        <f t="shared" si="13"/>
        <v>Leopard-214985</v>
      </c>
      <c r="E291" t="str">
        <f t="shared" si="14"/>
        <v>A01</v>
      </c>
    </row>
    <row r="292" spans="1:5" x14ac:dyDescent="0.25">
      <c r="A292" t="str">
        <f t="shared" si="12"/>
        <v>G7</v>
      </c>
      <c r="B292" t="s">
        <v>669</v>
      </c>
      <c r="C292" t="s">
        <v>670</v>
      </c>
      <c r="D292" t="str">
        <f t="shared" si="13"/>
        <v>Leopard-214985</v>
      </c>
      <c r="E292" t="str">
        <f t="shared" si="14"/>
        <v>A01</v>
      </c>
    </row>
    <row r="293" spans="1:5" x14ac:dyDescent="0.25">
      <c r="A293" t="str">
        <f t="shared" si="12"/>
        <v>G7</v>
      </c>
      <c r="B293" t="s">
        <v>671</v>
      </c>
      <c r="C293" t="s">
        <v>672</v>
      </c>
      <c r="D293" t="str">
        <f t="shared" si="13"/>
        <v>Leopard-214985</v>
      </c>
      <c r="E293" t="str">
        <f t="shared" si="14"/>
        <v>A01</v>
      </c>
    </row>
    <row r="294" spans="1:5" x14ac:dyDescent="0.25">
      <c r="A294" t="str">
        <f t="shared" si="12"/>
        <v>G7</v>
      </c>
      <c r="B294" t="s">
        <v>673</v>
      </c>
      <c r="C294" t="s">
        <v>674</v>
      </c>
      <c r="D294" t="str">
        <f t="shared" si="13"/>
        <v>Leopard-214985</v>
      </c>
      <c r="E294" t="str">
        <f t="shared" si="14"/>
        <v>A01</v>
      </c>
    </row>
    <row r="295" spans="1:5" x14ac:dyDescent="0.25">
      <c r="A295" t="str">
        <f t="shared" si="12"/>
        <v>G7</v>
      </c>
      <c r="B295" t="s">
        <v>675</v>
      </c>
      <c r="C295" t="s">
        <v>676</v>
      </c>
      <c r="D295" t="str">
        <f t="shared" si="13"/>
        <v>Leopard-214985</v>
      </c>
      <c r="E295" t="str">
        <f t="shared" si="14"/>
        <v>A01</v>
      </c>
    </row>
    <row r="296" spans="1:5" x14ac:dyDescent="0.25">
      <c r="A296" t="str">
        <f t="shared" si="12"/>
        <v>G7</v>
      </c>
      <c r="B296" t="s">
        <v>677</v>
      </c>
      <c r="C296" t="s">
        <v>678</v>
      </c>
      <c r="D296" t="str">
        <f t="shared" si="13"/>
        <v>Leopard-214985</v>
      </c>
      <c r="E296" t="str">
        <f t="shared" si="14"/>
        <v>A01</v>
      </c>
    </row>
    <row r="297" spans="1:5" x14ac:dyDescent="0.25">
      <c r="A297" t="str">
        <f t="shared" si="12"/>
        <v>G7</v>
      </c>
      <c r="B297" t="s">
        <v>679</v>
      </c>
      <c r="C297" t="s">
        <v>680</v>
      </c>
      <c r="D297" t="str">
        <f t="shared" si="13"/>
        <v>Leopard-214985</v>
      </c>
      <c r="E297" t="str">
        <f t="shared" si="14"/>
        <v>A01</v>
      </c>
    </row>
    <row r="298" spans="1:5" x14ac:dyDescent="0.25">
      <c r="A298" t="str">
        <f t="shared" si="12"/>
        <v>G7</v>
      </c>
      <c r="B298" t="s">
        <v>681</v>
      </c>
      <c r="C298" t="s">
        <v>682</v>
      </c>
      <c r="D298" t="str">
        <f t="shared" si="13"/>
        <v>Leopard-214985</v>
      </c>
      <c r="E298" t="str">
        <f t="shared" si="14"/>
        <v>A01</v>
      </c>
    </row>
    <row r="299" spans="1:5" x14ac:dyDescent="0.25">
      <c r="A299" t="str">
        <f t="shared" si="12"/>
        <v>G7</v>
      </c>
      <c r="B299" t="s">
        <v>683</v>
      </c>
      <c r="C299" t="s">
        <v>684</v>
      </c>
      <c r="D299" t="str">
        <f t="shared" si="13"/>
        <v>Leopard-214985</v>
      </c>
      <c r="E299" t="str">
        <f t="shared" si="14"/>
        <v>A01</v>
      </c>
    </row>
    <row r="300" spans="1:5" x14ac:dyDescent="0.25">
      <c r="A300" t="str">
        <f t="shared" si="12"/>
        <v>G7</v>
      </c>
      <c r="B300" t="s">
        <v>685</v>
      </c>
      <c r="C300" t="s">
        <v>686</v>
      </c>
      <c r="D300" t="str">
        <f t="shared" si="13"/>
        <v>Leopard-214985</v>
      </c>
      <c r="E300" t="str">
        <f t="shared" si="14"/>
        <v>A01</v>
      </c>
    </row>
    <row r="301" spans="1:5" x14ac:dyDescent="0.25">
      <c r="A301" t="str">
        <f t="shared" si="12"/>
        <v>G7</v>
      </c>
      <c r="B301" t="s">
        <v>687</v>
      </c>
      <c r="C301" t="s">
        <v>688</v>
      </c>
      <c r="D301" t="str">
        <f t="shared" si="13"/>
        <v>Leopard-214985</v>
      </c>
      <c r="E301" t="str">
        <f t="shared" si="14"/>
        <v>A01</v>
      </c>
    </row>
    <row r="302" spans="1:5" x14ac:dyDescent="0.25">
      <c r="A302" t="str">
        <f t="shared" si="12"/>
        <v>G7</v>
      </c>
      <c r="B302" t="s">
        <v>689</v>
      </c>
      <c r="C302" t="s">
        <v>690</v>
      </c>
      <c r="D302" t="str">
        <f t="shared" si="13"/>
        <v>Leopard-214985</v>
      </c>
      <c r="E302" t="str">
        <f t="shared" si="14"/>
        <v>A01</v>
      </c>
    </row>
    <row r="303" spans="1:5" x14ac:dyDescent="0.25">
      <c r="A303" t="str">
        <f t="shared" si="12"/>
        <v>G7</v>
      </c>
      <c r="B303" t="s">
        <v>691</v>
      </c>
      <c r="C303" t="s">
        <v>692</v>
      </c>
      <c r="D303" t="str">
        <f t="shared" si="13"/>
        <v>Leopard-214985</v>
      </c>
      <c r="E303" t="str">
        <f t="shared" si="14"/>
        <v>A01</v>
      </c>
    </row>
    <row r="304" spans="1:5" x14ac:dyDescent="0.25">
      <c r="A304" t="str">
        <f t="shared" si="12"/>
        <v>G7</v>
      </c>
      <c r="B304" t="s">
        <v>693</v>
      </c>
      <c r="C304" t="s">
        <v>694</v>
      </c>
      <c r="D304" t="str">
        <f t="shared" si="13"/>
        <v>Leopard-214985</v>
      </c>
      <c r="E304" t="str">
        <f t="shared" si="14"/>
        <v>A01</v>
      </c>
    </row>
    <row r="305" spans="1:5" x14ac:dyDescent="0.25">
      <c r="A305" t="str">
        <f t="shared" si="12"/>
        <v>G7</v>
      </c>
      <c r="B305" t="s">
        <v>695</v>
      </c>
      <c r="C305" t="s">
        <v>696</v>
      </c>
      <c r="D305" t="str">
        <f t="shared" si="13"/>
        <v>Leopard-214985</v>
      </c>
      <c r="E305" t="str">
        <f t="shared" si="14"/>
        <v>A01</v>
      </c>
    </row>
    <row r="306" spans="1:5" x14ac:dyDescent="0.25">
      <c r="A306" t="str">
        <f t="shared" si="12"/>
        <v>G7</v>
      </c>
      <c r="B306" t="s">
        <v>697</v>
      </c>
      <c r="C306" t="s">
        <v>698</v>
      </c>
      <c r="D306" t="str">
        <f t="shared" si="13"/>
        <v>Leopard-214985</v>
      </c>
      <c r="E306" t="str">
        <f t="shared" si="14"/>
        <v>A01</v>
      </c>
    </row>
    <row r="307" spans="1:5" x14ac:dyDescent="0.25">
      <c r="A307" t="str">
        <f t="shared" si="12"/>
        <v>G7</v>
      </c>
      <c r="B307" t="s">
        <v>699</v>
      </c>
      <c r="C307" t="s">
        <v>700</v>
      </c>
      <c r="D307" t="str">
        <f t="shared" si="13"/>
        <v>Leopard-214985</v>
      </c>
      <c r="E307" t="str">
        <f t="shared" si="14"/>
        <v>A01</v>
      </c>
    </row>
    <row r="308" spans="1:5" x14ac:dyDescent="0.25">
      <c r="A308" t="str">
        <f t="shared" si="12"/>
        <v>G7</v>
      </c>
      <c r="B308" t="s">
        <v>701</v>
      </c>
      <c r="C308" t="s">
        <v>702</v>
      </c>
      <c r="D308" t="str">
        <f t="shared" si="13"/>
        <v>Leopard-214985</v>
      </c>
      <c r="E308" t="str">
        <f t="shared" si="14"/>
        <v>A01</v>
      </c>
    </row>
    <row r="309" spans="1:5" x14ac:dyDescent="0.25">
      <c r="A309" t="str">
        <f t="shared" si="12"/>
        <v>G7</v>
      </c>
      <c r="B309" t="s">
        <v>703</v>
      </c>
      <c r="C309" t="s">
        <v>704</v>
      </c>
      <c r="D309" t="str">
        <f t="shared" si="13"/>
        <v>Leopard-214985</v>
      </c>
      <c r="E309" t="str">
        <f t="shared" si="14"/>
        <v>A01</v>
      </c>
    </row>
    <row r="310" spans="1:5" x14ac:dyDescent="0.25">
      <c r="A310" t="str">
        <f t="shared" si="12"/>
        <v>G7</v>
      </c>
      <c r="B310" t="s">
        <v>705</v>
      </c>
      <c r="C310" t="s">
        <v>706</v>
      </c>
      <c r="D310" t="str">
        <f t="shared" si="13"/>
        <v>Leopard-214985</v>
      </c>
      <c r="E310" t="str">
        <f t="shared" si="14"/>
        <v>A01</v>
      </c>
    </row>
    <row r="311" spans="1:5" x14ac:dyDescent="0.25">
      <c r="A311" t="str">
        <f t="shared" si="12"/>
        <v>G7</v>
      </c>
      <c r="B311" t="s">
        <v>707</v>
      </c>
      <c r="C311" t="s">
        <v>708</v>
      </c>
      <c r="D311" t="str">
        <f t="shared" si="13"/>
        <v>Leopard-214985</v>
      </c>
      <c r="E311" t="str">
        <f t="shared" si="14"/>
        <v>A01</v>
      </c>
    </row>
    <row r="312" spans="1:5" x14ac:dyDescent="0.25">
      <c r="A312" t="str">
        <f t="shared" si="12"/>
        <v>G7</v>
      </c>
      <c r="B312" t="s">
        <v>709</v>
      </c>
      <c r="C312" t="s">
        <v>710</v>
      </c>
      <c r="D312" t="str">
        <f t="shared" si="13"/>
        <v>Leopard-214985</v>
      </c>
      <c r="E312" t="str">
        <f t="shared" si="14"/>
        <v>A01</v>
      </c>
    </row>
    <row r="313" spans="1:5" x14ac:dyDescent="0.25">
      <c r="A313" t="str">
        <f t="shared" si="12"/>
        <v>G7</v>
      </c>
      <c r="B313" t="s">
        <v>711</v>
      </c>
      <c r="C313" t="s">
        <v>712</v>
      </c>
      <c r="D313" t="str">
        <f t="shared" si="13"/>
        <v>Leopard-214985</v>
      </c>
      <c r="E313" t="str">
        <f t="shared" si="14"/>
        <v>A01</v>
      </c>
    </row>
    <row r="314" spans="1:5" x14ac:dyDescent="0.25">
      <c r="A314" t="str">
        <f t="shared" si="12"/>
        <v>G7</v>
      </c>
      <c r="B314" t="s">
        <v>713</v>
      </c>
      <c r="C314" t="s">
        <v>714</v>
      </c>
      <c r="D314" t="str">
        <f t="shared" si="13"/>
        <v>Leopard-214985</v>
      </c>
      <c r="E314" t="str">
        <f t="shared" si="14"/>
        <v>A01</v>
      </c>
    </row>
    <row r="315" spans="1:5" x14ac:dyDescent="0.25">
      <c r="A315" t="str">
        <f t="shared" si="12"/>
        <v>G7</v>
      </c>
      <c r="B315" t="s">
        <v>715</v>
      </c>
      <c r="C315" t="s">
        <v>716</v>
      </c>
      <c r="D315" t="str">
        <f t="shared" si="13"/>
        <v>Leopard-214985</v>
      </c>
      <c r="E315" t="str">
        <f t="shared" si="14"/>
        <v>A01</v>
      </c>
    </row>
    <row r="316" spans="1:5" x14ac:dyDescent="0.25">
      <c r="A316" t="str">
        <f t="shared" si="12"/>
        <v>G7</v>
      </c>
      <c r="B316" t="s">
        <v>717</v>
      </c>
      <c r="C316" t="s">
        <v>718</v>
      </c>
      <c r="D316" t="str">
        <f t="shared" si="13"/>
        <v>Leopard-214985</v>
      </c>
      <c r="E316" t="str">
        <f t="shared" si="14"/>
        <v>A01</v>
      </c>
    </row>
    <row r="317" spans="1:5" x14ac:dyDescent="0.25">
      <c r="A317" t="str">
        <f t="shared" si="12"/>
        <v>G7</v>
      </c>
      <c r="B317" t="s">
        <v>719</v>
      </c>
      <c r="C317" t="s">
        <v>720</v>
      </c>
      <c r="D317" t="str">
        <f t="shared" si="13"/>
        <v>Leopard-214985</v>
      </c>
      <c r="E317" t="str">
        <f t="shared" si="14"/>
        <v>A01</v>
      </c>
    </row>
    <row r="318" spans="1:5" x14ac:dyDescent="0.25">
      <c r="A318" t="str">
        <f t="shared" si="12"/>
        <v>G7</v>
      </c>
      <c r="B318" t="s">
        <v>721</v>
      </c>
      <c r="C318" t="s">
        <v>722</v>
      </c>
      <c r="D318" t="str">
        <f t="shared" si="13"/>
        <v>Leopard-214985</v>
      </c>
      <c r="E318" t="str">
        <f t="shared" si="14"/>
        <v>A01</v>
      </c>
    </row>
    <row r="319" spans="1:5" x14ac:dyDescent="0.25">
      <c r="A319" t="str">
        <f t="shared" si="12"/>
        <v>G7</v>
      </c>
      <c r="B319" t="s">
        <v>723</v>
      </c>
      <c r="C319" t="s">
        <v>724</v>
      </c>
      <c r="D319" t="str">
        <f t="shared" si="13"/>
        <v>Leopard-214985</v>
      </c>
      <c r="E319" t="str">
        <f t="shared" si="14"/>
        <v>A01</v>
      </c>
    </row>
    <row r="320" spans="1:5" x14ac:dyDescent="0.25">
      <c r="A320" t="str">
        <f t="shared" si="12"/>
        <v>G7</v>
      </c>
      <c r="B320" t="s">
        <v>725</v>
      </c>
      <c r="C320" t="s">
        <v>726</v>
      </c>
      <c r="D320" t="str">
        <f t="shared" si="13"/>
        <v>Leopard-214985</v>
      </c>
      <c r="E320" t="str">
        <f t="shared" si="14"/>
        <v>A01</v>
      </c>
    </row>
    <row r="321" spans="1:5" x14ac:dyDescent="0.25">
      <c r="A321" t="str">
        <f t="shared" si="12"/>
        <v>G7</v>
      </c>
      <c r="B321" t="s">
        <v>727</v>
      </c>
      <c r="C321" t="s">
        <v>728</v>
      </c>
      <c r="D321" t="str">
        <f t="shared" si="13"/>
        <v>Leopard-214985</v>
      </c>
      <c r="E321" t="str">
        <f t="shared" si="14"/>
        <v>A01</v>
      </c>
    </row>
    <row r="322" spans="1:5" x14ac:dyDescent="0.25">
      <c r="A322" t="str">
        <f t="shared" si="12"/>
        <v>G7</v>
      </c>
      <c r="B322" t="s">
        <v>729</v>
      </c>
      <c r="C322" t="s">
        <v>730</v>
      </c>
      <c r="D322" t="str">
        <f t="shared" si="13"/>
        <v>Leopard-214985</v>
      </c>
      <c r="E322" t="str">
        <f t="shared" si="14"/>
        <v>A01</v>
      </c>
    </row>
    <row r="323" spans="1:5" x14ac:dyDescent="0.25">
      <c r="A323" t="str">
        <f t="shared" ref="A323:A357" si="15">IF(TRIM(B323)="","", "G7")</f>
        <v>G7</v>
      </c>
      <c r="B323" t="s">
        <v>731</v>
      </c>
      <c r="C323" t="s">
        <v>732</v>
      </c>
      <c r="D323" t="str">
        <f t="shared" ref="D323:D357" si="16">IF(TRIM(B323)="","", "Leopard-214985")</f>
        <v>Leopard-214985</v>
      </c>
      <c r="E323" t="str">
        <f t="shared" ref="E323:E357" si="17">IF(TRIM(B323)="","", "A01")</f>
        <v>A01</v>
      </c>
    </row>
    <row r="324" spans="1:5" x14ac:dyDescent="0.25">
      <c r="A324" t="str">
        <f t="shared" si="15"/>
        <v>G7</v>
      </c>
      <c r="B324" t="s">
        <v>733</v>
      </c>
      <c r="C324" t="s">
        <v>734</v>
      </c>
      <c r="D324" t="str">
        <f t="shared" si="16"/>
        <v>Leopard-214985</v>
      </c>
      <c r="E324" t="str">
        <f t="shared" si="17"/>
        <v>A01</v>
      </c>
    </row>
    <row r="325" spans="1:5" x14ac:dyDescent="0.25">
      <c r="A325" t="str">
        <f t="shared" si="15"/>
        <v>G7</v>
      </c>
      <c r="B325" t="s">
        <v>735</v>
      </c>
      <c r="C325" t="s">
        <v>736</v>
      </c>
      <c r="D325" t="str">
        <f t="shared" si="16"/>
        <v>Leopard-214985</v>
      </c>
      <c r="E325" t="str">
        <f t="shared" si="17"/>
        <v>A01</v>
      </c>
    </row>
    <row r="326" spans="1:5" x14ac:dyDescent="0.25">
      <c r="A326" t="str">
        <f t="shared" si="15"/>
        <v>G7</v>
      </c>
      <c r="B326" t="s">
        <v>737</v>
      </c>
      <c r="C326" t="s">
        <v>738</v>
      </c>
      <c r="D326" t="str">
        <f t="shared" si="16"/>
        <v>Leopard-214985</v>
      </c>
      <c r="E326" t="str">
        <f t="shared" si="17"/>
        <v>A01</v>
      </c>
    </row>
    <row r="327" spans="1:5" x14ac:dyDescent="0.25">
      <c r="A327" t="str">
        <f t="shared" si="15"/>
        <v>G7</v>
      </c>
      <c r="B327" t="s">
        <v>739</v>
      </c>
      <c r="C327" t="s">
        <v>740</v>
      </c>
      <c r="D327" t="str">
        <f t="shared" si="16"/>
        <v>Leopard-214985</v>
      </c>
      <c r="E327" t="str">
        <f t="shared" si="17"/>
        <v>A01</v>
      </c>
    </row>
    <row r="328" spans="1:5" x14ac:dyDescent="0.25">
      <c r="A328" t="str">
        <f t="shared" si="15"/>
        <v>G7</v>
      </c>
      <c r="B328" t="s">
        <v>741</v>
      </c>
      <c r="C328" t="s">
        <v>742</v>
      </c>
      <c r="D328" t="str">
        <f t="shared" si="16"/>
        <v>Leopard-214985</v>
      </c>
      <c r="E328" t="str">
        <f t="shared" si="17"/>
        <v>A01</v>
      </c>
    </row>
    <row r="329" spans="1:5" x14ac:dyDescent="0.25">
      <c r="A329" t="str">
        <f t="shared" si="15"/>
        <v>G7</v>
      </c>
      <c r="B329" t="s">
        <v>743</v>
      </c>
      <c r="C329" t="s">
        <v>744</v>
      </c>
      <c r="D329" t="str">
        <f t="shared" si="16"/>
        <v>Leopard-214985</v>
      </c>
      <c r="E329" t="str">
        <f t="shared" si="17"/>
        <v>A01</v>
      </c>
    </row>
    <row r="330" spans="1:5" x14ac:dyDescent="0.25">
      <c r="A330" t="str">
        <f t="shared" si="15"/>
        <v>G7</v>
      </c>
      <c r="B330" t="s">
        <v>745</v>
      </c>
      <c r="C330" t="s">
        <v>746</v>
      </c>
      <c r="D330" t="str">
        <f t="shared" si="16"/>
        <v>Leopard-214985</v>
      </c>
      <c r="E330" t="str">
        <f t="shared" si="17"/>
        <v>A01</v>
      </c>
    </row>
    <row r="331" spans="1:5" x14ac:dyDescent="0.25">
      <c r="A331" t="str">
        <f t="shared" si="15"/>
        <v>G7</v>
      </c>
      <c r="B331" t="s">
        <v>747</v>
      </c>
      <c r="C331" t="s">
        <v>748</v>
      </c>
      <c r="D331" t="str">
        <f t="shared" si="16"/>
        <v>Leopard-214985</v>
      </c>
      <c r="E331" t="str">
        <f t="shared" si="17"/>
        <v>A01</v>
      </c>
    </row>
    <row r="332" spans="1:5" x14ac:dyDescent="0.25">
      <c r="A332" t="str">
        <f t="shared" si="15"/>
        <v>G7</v>
      </c>
      <c r="B332" t="s">
        <v>749</v>
      </c>
      <c r="C332" t="s">
        <v>750</v>
      </c>
      <c r="D332" t="str">
        <f t="shared" si="16"/>
        <v>Leopard-214985</v>
      </c>
      <c r="E332" t="str">
        <f t="shared" si="17"/>
        <v>A01</v>
      </c>
    </row>
    <row r="333" spans="1:5" x14ac:dyDescent="0.25">
      <c r="A333" t="str">
        <f t="shared" si="15"/>
        <v>G7</v>
      </c>
      <c r="B333" t="s">
        <v>751</v>
      </c>
      <c r="C333" t="s">
        <v>752</v>
      </c>
      <c r="D333" t="str">
        <f t="shared" si="16"/>
        <v>Leopard-214985</v>
      </c>
      <c r="E333" t="str">
        <f t="shared" si="17"/>
        <v>A01</v>
      </c>
    </row>
    <row r="334" spans="1:5" x14ac:dyDescent="0.25">
      <c r="A334" t="str">
        <f t="shared" si="15"/>
        <v>G7</v>
      </c>
      <c r="B334" t="s">
        <v>753</v>
      </c>
      <c r="C334" t="s">
        <v>754</v>
      </c>
      <c r="D334" t="str">
        <f t="shared" si="16"/>
        <v>Leopard-214985</v>
      </c>
      <c r="E334" t="str">
        <f t="shared" si="17"/>
        <v>A01</v>
      </c>
    </row>
    <row r="335" spans="1:5" x14ac:dyDescent="0.25">
      <c r="A335" t="str">
        <f t="shared" si="15"/>
        <v>G7</v>
      </c>
      <c r="B335" t="s">
        <v>755</v>
      </c>
      <c r="C335" t="s">
        <v>756</v>
      </c>
      <c r="D335" t="str">
        <f t="shared" si="16"/>
        <v>Leopard-214985</v>
      </c>
      <c r="E335" t="str">
        <f t="shared" si="17"/>
        <v>A01</v>
      </c>
    </row>
    <row r="336" spans="1:5" x14ac:dyDescent="0.25">
      <c r="A336" t="str">
        <f t="shared" si="15"/>
        <v>G7</v>
      </c>
      <c r="B336" t="s">
        <v>757</v>
      </c>
      <c r="C336" t="s">
        <v>758</v>
      </c>
      <c r="D336" t="str">
        <f t="shared" si="16"/>
        <v>Leopard-214985</v>
      </c>
      <c r="E336" t="str">
        <f t="shared" si="17"/>
        <v>A01</v>
      </c>
    </row>
    <row r="337" spans="1:5" x14ac:dyDescent="0.25">
      <c r="A337" t="str">
        <f t="shared" si="15"/>
        <v>G7</v>
      </c>
      <c r="B337" t="s">
        <v>759</v>
      </c>
      <c r="C337" t="s">
        <v>760</v>
      </c>
      <c r="D337" t="str">
        <f t="shared" si="16"/>
        <v>Leopard-214985</v>
      </c>
      <c r="E337" t="str">
        <f t="shared" si="17"/>
        <v>A01</v>
      </c>
    </row>
    <row r="338" spans="1:5" x14ac:dyDescent="0.25">
      <c r="A338" t="str">
        <f t="shared" si="15"/>
        <v>G7</v>
      </c>
      <c r="B338" t="s">
        <v>761</v>
      </c>
      <c r="C338" t="s">
        <v>762</v>
      </c>
      <c r="D338" t="str">
        <f t="shared" si="16"/>
        <v>Leopard-214985</v>
      </c>
      <c r="E338" t="str">
        <f t="shared" si="17"/>
        <v>A01</v>
      </c>
    </row>
    <row r="339" spans="1:5" x14ac:dyDescent="0.25">
      <c r="A339" t="str">
        <f t="shared" si="15"/>
        <v>G7</v>
      </c>
      <c r="B339" t="s">
        <v>763</v>
      </c>
      <c r="C339" t="s">
        <v>764</v>
      </c>
      <c r="D339" t="str">
        <f t="shared" si="16"/>
        <v>Leopard-214985</v>
      </c>
      <c r="E339" t="str">
        <f t="shared" si="17"/>
        <v>A01</v>
      </c>
    </row>
    <row r="340" spans="1:5" x14ac:dyDescent="0.25">
      <c r="A340" t="str">
        <f t="shared" si="15"/>
        <v>G7</v>
      </c>
      <c r="B340" t="s">
        <v>765</v>
      </c>
      <c r="C340" t="s">
        <v>766</v>
      </c>
      <c r="D340" t="str">
        <f t="shared" si="16"/>
        <v>Leopard-214985</v>
      </c>
      <c r="E340" t="str">
        <f t="shared" si="17"/>
        <v>A01</v>
      </c>
    </row>
    <row r="341" spans="1:5" x14ac:dyDescent="0.25">
      <c r="A341" t="str">
        <f t="shared" si="15"/>
        <v>G7</v>
      </c>
      <c r="B341" t="s">
        <v>767</v>
      </c>
      <c r="C341" t="s">
        <v>768</v>
      </c>
      <c r="D341" t="str">
        <f t="shared" si="16"/>
        <v>Leopard-214985</v>
      </c>
      <c r="E341" t="str">
        <f t="shared" si="17"/>
        <v>A01</v>
      </c>
    </row>
    <row r="342" spans="1:5" x14ac:dyDescent="0.25">
      <c r="A342" t="str">
        <f t="shared" si="15"/>
        <v>G7</v>
      </c>
      <c r="B342" t="s">
        <v>769</v>
      </c>
      <c r="C342" t="s">
        <v>770</v>
      </c>
      <c r="D342" t="str">
        <f t="shared" si="16"/>
        <v>Leopard-214985</v>
      </c>
      <c r="E342" t="str">
        <f t="shared" si="17"/>
        <v>A01</v>
      </c>
    </row>
    <row r="343" spans="1:5" x14ac:dyDescent="0.25">
      <c r="A343" t="str">
        <f t="shared" si="15"/>
        <v>G7</v>
      </c>
      <c r="B343" t="s">
        <v>771</v>
      </c>
      <c r="C343" t="s">
        <v>772</v>
      </c>
      <c r="D343" t="str">
        <f t="shared" si="16"/>
        <v>Leopard-214985</v>
      </c>
      <c r="E343" t="str">
        <f t="shared" si="17"/>
        <v>A01</v>
      </c>
    </row>
    <row r="344" spans="1:5" x14ac:dyDescent="0.25">
      <c r="A344" t="str">
        <f t="shared" si="15"/>
        <v>G7</v>
      </c>
      <c r="B344" t="s">
        <v>773</v>
      </c>
      <c r="C344" t="s">
        <v>774</v>
      </c>
      <c r="D344" t="str">
        <f t="shared" si="16"/>
        <v>Leopard-214985</v>
      </c>
      <c r="E344" t="str">
        <f t="shared" si="17"/>
        <v>A01</v>
      </c>
    </row>
    <row r="345" spans="1:5" x14ac:dyDescent="0.25">
      <c r="A345" t="str">
        <f t="shared" si="15"/>
        <v>G7</v>
      </c>
      <c r="B345" t="s">
        <v>775</v>
      </c>
      <c r="C345" t="s">
        <v>776</v>
      </c>
      <c r="D345" t="str">
        <f t="shared" si="16"/>
        <v>Leopard-214985</v>
      </c>
      <c r="E345" t="str">
        <f t="shared" si="17"/>
        <v>A01</v>
      </c>
    </row>
    <row r="346" spans="1:5" x14ac:dyDescent="0.25">
      <c r="A346" t="str">
        <f t="shared" si="15"/>
        <v>G7</v>
      </c>
      <c r="B346" t="s">
        <v>777</v>
      </c>
      <c r="C346" t="s">
        <v>778</v>
      </c>
      <c r="D346" t="str">
        <f t="shared" si="16"/>
        <v>Leopard-214985</v>
      </c>
      <c r="E346" t="str">
        <f t="shared" si="17"/>
        <v>A01</v>
      </c>
    </row>
    <row r="347" spans="1:5" x14ac:dyDescent="0.25">
      <c r="A347" t="str">
        <f t="shared" si="15"/>
        <v>G7</v>
      </c>
      <c r="B347" t="s">
        <v>779</v>
      </c>
      <c r="C347" t="s">
        <v>780</v>
      </c>
      <c r="D347" t="str">
        <f t="shared" si="16"/>
        <v>Leopard-214985</v>
      </c>
      <c r="E347" t="str">
        <f t="shared" si="17"/>
        <v>A01</v>
      </c>
    </row>
    <row r="348" spans="1:5" x14ac:dyDescent="0.25">
      <c r="A348" t="str">
        <f t="shared" si="15"/>
        <v>G7</v>
      </c>
      <c r="B348" t="s">
        <v>781</v>
      </c>
      <c r="C348" t="s">
        <v>782</v>
      </c>
      <c r="D348" t="str">
        <f t="shared" si="16"/>
        <v>Leopard-214985</v>
      </c>
      <c r="E348" t="str">
        <f t="shared" si="17"/>
        <v>A01</v>
      </c>
    </row>
    <row r="349" spans="1:5" x14ac:dyDescent="0.25">
      <c r="A349" t="str">
        <f t="shared" si="15"/>
        <v>G7</v>
      </c>
      <c r="B349" t="s">
        <v>783</v>
      </c>
      <c r="C349" t="s">
        <v>784</v>
      </c>
      <c r="D349" t="str">
        <f t="shared" si="16"/>
        <v>Leopard-214985</v>
      </c>
      <c r="E349" t="str">
        <f t="shared" si="17"/>
        <v>A01</v>
      </c>
    </row>
    <row r="350" spans="1:5" x14ac:dyDescent="0.25">
      <c r="A350" t="str">
        <f t="shared" si="15"/>
        <v>G7</v>
      </c>
      <c r="B350" t="s">
        <v>785</v>
      </c>
      <c r="C350" t="s">
        <v>786</v>
      </c>
      <c r="D350" t="str">
        <f t="shared" si="16"/>
        <v>Leopard-214985</v>
      </c>
      <c r="E350" t="str">
        <f t="shared" si="17"/>
        <v>A01</v>
      </c>
    </row>
    <row r="351" spans="1:5" x14ac:dyDescent="0.25">
      <c r="A351" t="str">
        <f t="shared" si="15"/>
        <v>G7</v>
      </c>
      <c r="B351" t="s">
        <v>787</v>
      </c>
      <c r="C351" t="s">
        <v>788</v>
      </c>
      <c r="D351" t="str">
        <f t="shared" si="16"/>
        <v>Leopard-214985</v>
      </c>
      <c r="E351" t="str">
        <f t="shared" si="17"/>
        <v>A01</v>
      </c>
    </row>
    <row r="352" spans="1:5" x14ac:dyDescent="0.25">
      <c r="A352" t="str">
        <f t="shared" si="15"/>
        <v>G7</v>
      </c>
      <c r="B352" t="s">
        <v>789</v>
      </c>
      <c r="C352" t="s">
        <v>790</v>
      </c>
      <c r="D352" t="str">
        <f t="shared" si="16"/>
        <v>Leopard-214985</v>
      </c>
      <c r="E352" t="str">
        <f t="shared" si="17"/>
        <v>A01</v>
      </c>
    </row>
    <row r="353" spans="1:5" x14ac:dyDescent="0.25">
      <c r="A353" t="str">
        <f t="shared" si="15"/>
        <v>G7</v>
      </c>
      <c r="B353" t="s">
        <v>791</v>
      </c>
      <c r="C353" t="s">
        <v>792</v>
      </c>
      <c r="D353" t="str">
        <f t="shared" si="16"/>
        <v>Leopard-214985</v>
      </c>
      <c r="E353" t="str">
        <f t="shared" si="17"/>
        <v>A01</v>
      </c>
    </row>
    <row r="354" spans="1:5" x14ac:dyDescent="0.25">
      <c r="A354" t="str">
        <f t="shared" si="15"/>
        <v>G7</v>
      </c>
      <c r="B354" t="s">
        <v>793</v>
      </c>
      <c r="C354" t="s">
        <v>794</v>
      </c>
      <c r="D354" t="str">
        <f t="shared" si="16"/>
        <v>Leopard-214985</v>
      </c>
      <c r="E354" t="str">
        <f t="shared" si="17"/>
        <v>A01</v>
      </c>
    </row>
    <row r="355" spans="1:5" x14ac:dyDescent="0.25">
      <c r="A355" t="str">
        <f t="shared" si="15"/>
        <v>G7</v>
      </c>
      <c r="B355" t="s">
        <v>795</v>
      </c>
      <c r="C355" t="s">
        <v>796</v>
      </c>
      <c r="D355" t="str">
        <f t="shared" si="16"/>
        <v>Leopard-214985</v>
      </c>
      <c r="E355" t="str">
        <f t="shared" si="17"/>
        <v>A01</v>
      </c>
    </row>
    <row r="356" spans="1:5" x14ac:dyDescent="0.25">
      <c r="A356" t="str">
        <f t="shared" si="15"/>
        <v>G7</v>
      </c>
      <c r="B356" t="s">
        <v>797</v>
      </c>
      <c r="C356" t="s">
        <v>798</v>
      </c>
      <c r="D356" t="str">
        <f t="shared" si="16"/>
        <v>Leopard-214985</v>
      </c>
      <c r="E356" t="str">
        <f t="shared" si="17"/>
        <v>A01</v>
      </c>
    </row>
    <row r="357" spans="1:5" x14ac:dyDescent="0.25">
      <c r="A357" t="str">
        <f t="shared" si="15"/>
        <v>G7</v>
      </c>
      <c r="B357" t="s">
        <v>799</v>
      </c>
      <c r="C357" t="s">
        <v>800</v>
      </c>
      <c r="D357" t="str">
        <f t="shared" si="16"/>
        <v>Leopard-214985</v>
      </c>
      <c r="E357" t="str">
        <f t="shared" si="17"/>
        <v>A01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Inquiry</vt:lpstr>
      <vt:lpstr>Bulk Rejection</vt:lpstr>
      <vt:lpstr>Manual Registration</vt:lpstr>
      <vt:lpstr>Reroute</vt:lpstr>
      <vt:lpstr>Conversion</vt:lpstr>
      <vt:lpstr>Transfer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Lilis</dc:creator>
  <cp:lastModifiedBy>Melvin Lilis</cp:lastModifiedBy>
  <dcterms:created xsi:type="dcterms:W3CDTF">2026-04-30T21:04:45Z</dcterms:created>
  <dcterms:modified xsi:type="dcterms:W3CDTF">2026-05-01T13:20:54Z</dcterms:modified>
</cp:coreProperties>
</file>